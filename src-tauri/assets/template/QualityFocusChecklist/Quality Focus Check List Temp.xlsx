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xr:revisionPtr revIDLastSave="0" documentId="8_{5A52EAC9-903F-471D-A6E9-2E9DD8858AA1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</sheets>
  <definedNames>
    <definedName name="_xlnm._FilterDatabase" localSheetId="0" hidden="1">Sheet1!$A$2:$K$7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D6" i="1"/>
</calcChain>
</file>

<file path=xl/sharedStrings.xml><?xml version="1.0" encoding="utf-8"?>
<sst xmlns="http://schemas.openxmlformats.org/spreadsheetml/2006/main" count="59" uniqueCount="45">
  <si>
    <t>NA</t>
  </si>
  <si>
    <t>Key Control Characteristics List</t>
  </si>
  <si>
    <t>Part</t>
  </si>
  <si>
    <t>Start Date</t>
  </si>
  <si>
    <t>Exit Date</t>
  </si>
  <si>
    <t>Focus Type</t>
  </si>
  <si>
    <t>Manufacturing Control Method</t>
  </si>
  <si>
    <t>Source</t>
  </si>
  <si>
    <t>Quality Alert Displayed (Yes/No)</t>
  </si>
  <si>
    <t>Included in Process Audit Checklist (Yes/No)</t>
  </si>
  <si>
    <t>Control Implementation Location</t>
  </si>
  <si>
    <t xml:space="preserve">Key Control Characteristics </t>
  </si>
  <si>
    <t>Escape Control Method</t>
  </si>
  <si>
    <t>A Pillar</t>
  </si>
  <si>
    <t>B Pillar</t>
  </si>
  <si>
    <t>C Pillar</t>
  </si>
  <si>
    <t>Y</t>
  </si>
  <si>
    <t>N</t>
  </si>
  <si>
    <t>Profile tolerance of the A-upper locating hole</t>
  </si>
  <si>
    <t>Risk of weak weld / weld separation in the B-pillar welding process; PFMEA RPL rated as 1, high risk</t>
  </si>
  <si>
    <t xml:space="preserve">
Excessive matching gap between C-upper and D-lower</t>
  </si>
  <si>
    <t>Imprint marks around the seat belt area on the left-hand C-upper</t>
  </si>
  <si>
    <t>Weak weld at the right-hand C-upper speaker grille</t>
  </si>
  <si>
    <t>Key Control Point</t>
  </si>
  <si>
    <t>PFMEA High Risk</t>
  </si>
  <si>
    <t>Customer Complaint</t>
  </si>
  <si>
    <t>High Management Attention</t>
  </si>
  <si>
    <t>Change Management</t>
  </si>
  <si>
    <t>Routine Item</t>
  </si>
  <si>
    <t>Variable Item</t>
  </si>
  <si>
    <t>1. Update the Work Instruction: add operating guidelines for hole-edge trimming — no burrs are allowed to remain.
2. Quality alert: post at the wrapping &amp; trimming station.</t>
  </si>
  <si>
    <t>1. Standard work for the welding station: operating guidelines shall include control of welding technique and self-inspection methods for weld appearance; 100% visual inspection of weld points is required.
2. Start-of-shift check: inspect the positioning status of the welding fixture; conduct destructive testing on the first piece to verify weld pull-off strength.</t>
  </si>
  <si>
    <t>1. Update the start-up inspection checklist: first-piece inspection of weld quality.
2. Quality alert: post at the welding &amp; assembly station (focus on welding stroke).</t>
  </si>
  <si>
    <t>1. Update the injection moulding final inspection work instruction: if repair fluid has been left standing for more than 30 minutes before reuse, it must be shaken well, then sprayed empty 3–5 times before application to the product.
2. Issue a quality concern at the injection moulding final inspection station (focus on painting quality and appearance defects).</t>
  </si>
  <si>
    <t>1. Update the standard work instruction: standardise foam pad dimensions and density, and standardise the bonding position.
2. Post a quality concern notice.</t>
  </si>
  <si>
    <t>Wrapping &amp; Trimming Station
Final Inspection</t>
  </si>
  <si>
    <t>Welding Station</t>
  </si>
  <si>
    <t>Welding &amp; Assembly Station</t>
  </si>
  <si>
    <t>Final Assembly Station
Final Inspection</t>
  </si>
  <si>
    <t xml:space="preserve">
Injection Moulding 
Final Inspection </t>
  </si>
  <si>
    <t>Quality patrol inspection: conduct sampled destructive testing every 3 hours to check weld pull-off strength.</t>
  </si>
  <si>
    <t>1. Update the final inspection work instruction: refine weld appearance criteria and add a shake test.
2. Quality alert: post at the final inspection station.</t>
  </si>
  <si>
    <t>Update the final inspection work instruction:
1. Increase measurement points on the gauge measurement sheet and the gauge itself from 1 point to 3 points.
2. Add inspection requirements for the foam pad bonding position.</t>
  </si>
  <si>
    <t>1. Update the final inspection work instruction: optimise the appearance inspection method — in addition to routine condition checks, simulate the vehicle installation environment by placing the part upright and observing it from different angles under alternating strong and weak lighting conditions.
2. Issue a quality concern notice.</t>
  </si>
  <si>
    <t>1. Update the final inspection work instruction: add a 100% inspection requirement for the square hole dimension 8.6 ± 0.2 mm (customised 8.6 ± 0.2 mm GO/NO-GO gauge).
2. Quality alert: post at the final inspection station.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</si>
</sst>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sz val="9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left" vertical="center" wrapText="1"/>
    </xf>
    <xf numFmtId="14" fontId="5" fillId="3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7"/>
  <sheetViews>
    <sheetView showGridLines="0" tabSelected="1" zoomScale="85" zoomScaleNormal="85" workbookViewId="0">
      <pane xSplit="1" ySplit="2" topLeftCell="B3" activePane="bottomRight" state="frozen"/>
      <selection pane="topRight" activeCell="C1" sqref="C1"/>
      <selection pane="bottomLeft" activeCell="A3" sqref="A3"/>
      <selection pane="bottomRight" activeCell="G4" sqref="G4"/>
    </sheetView>
  </sheetViews>
  <sheetFormatPr defaultColWidth="8.59765625" defaultRowHeight="14.25"/>
  <cols>
    <col min="1" max="1" width="9.265625" style="1" customWidth="1"/>
    <col min="2" max="2" width="35.46484375" style="1" customWidth="1"/>
    <col min="3" max="3" width="13.86328125" style="1" customWidth="1"/>
    <col min="4" max="4" width="14.265625" style="1" customWidth="1"/>
    <col min="5" max="5" width="13.06640625" style="1" customWidth="1"/>
    <col min="6" max="6" width="13.6640625" style="1" customWidth="1"/>
    <col min="7" max="7" width="64.73046875" style="1" customWidth="1"/>
    <col min="8" max="8" width="46.86328125" style="1" customWidth="1"/>
    <col min="9" max="9" width="14.06640625" style="1" customWidth="1"/>
    <col min="10" max="10" width="18.265625" style="1" customWidth="1"/>
    <col min="11" max="11" width="14" style="1" customWidth="1"/>
    <col min="12" max="16384" width="8.59765625" style="1"/>
  </cols>
  <sheetData>
    <row r="1" spans="1:11" ht="23.55" customHeight="1">
      <c r="A1" s="2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52.15" customHeight="1">
      <c r="A2" s="3" t="s">
        <v>2</v>
      </c>
      <c r="B2" s="3" t="s">
        <v>11</v>
      </c>
      <c r="C2" s="3" t="s">
        <v>3</v>
      </c>
      <c r="D2" s="3" t="s">
        <v>4</v>
      </c>
      <c r="E2" s="3" t="s">
        <v>5</v>
      </c>
      <c r="F2" s="3" t="s">
        <v>7</v>
      </c>
      <c r="G2" s="3" t="s">
        <v>6</v>
      </c>
      <c r="H2" s="3" t="s">
        <v>12</v>
      </c>
      <c r="I2" s="3" t="s">
        <v>8</v>
      </c>
      <c r="J2" s="3" t="s">
        <v>9</v>
      </c>
      <c r="K2" s="3" t="s">
        <v>10</v>
      </c>
    </row>
    <row r="3" spans="1:11" ht="88.05" customHeight="1">
      <c r="A3" s="4" t="s">
        <v>13</v>
      </c>
      <c r="B3" s="4" t="s">
        <v>18</v>
      </c>
      <c r="C3" s="5">
        <v>45406</v>
      </c>
      <c r="D3" s="9" t="s">
        <v>0</v>
      </c>
      <c r="E3" s="4" t="s">
        <v>28</v>
      </c>
      <c r="F3" s="4" t="s">
        <v>23</v>
      </c>
      <c r="G3" s="6" t="s">
        <v>30</v>
      </c>
      <c r="H3" s="6" t="s">
        <v>44</v>
      </c>
      <c r="I3" s="4" t="s">
        <v>16</v>
      </c>
      <c r="J3" s="4" t="s">
        <v>16</v>
      </c>
      <c r="K3" s="4" t="s">
        <v>35</v>
      </c>
    </row>
    <row r="4" spans="1:11" ht="148.15" customHeight="1">
      <c r="A4" s="4" t="s">
        <v>14</v>
      </c>
      <c r="B4" s="8" t="s">
        <v>19</v>
      </c>
      <c r="C4" s="5">
        <v>45514</v>
      </c>
      <c r="D4" s="9" t="s">
        <v>0</v>
      </c>
      <c r="E4" s="4" t="s">
        <v>28</v>
      </c>
      <c r="F4" s="4" t="s">
        <v>24</v>
      </c>
      <c r="G4" s="6" t="s">
        <v>31</v>
      </c>
      <c r="H4" s="6" t="s">
        <v>40</v>
      </c>
      <c r="I4" s="4" t="s">
        <v>17</v>
      </c>
      <c r="J4" s="4" t="s">
        <v>16</v>
      </c>
      <c r="K4" s="4" t="s">
        <v>36</v>
      </c>
    </row>
    <row r="5" spans="1:11" ht="88.05" customHeight="1">
      <c r="A5" s="4" t="s">
        <v>15</v>
      </c>
      <c r="B5" s="8" t="s">
        <v>22</v>
      </c>
      <c r="C5" s="5">
        <v>45406</v>
      </c>
      <c r="D5" s="5">
        <v>45528</v>
      </c>
      <c r="E5" s="4" t="s">
        <v>29</v>
      </c>
      <c r="F5" s="4" t="s">
        <v>25</v>
      </c>
      <c r="G5" s="6" t="s">
        <v>32</v>
      </c>
      <c r="H5" s="6" t="s">
        <v>41</v>
      </c>
      <c r="I5" s="4" t="s">
        <v>16</v>
      </c>
      <c r="J5" s="4" t="s">
        <v>16</v>
      </c>
      <c r="K5" s="4" t="s">
        <v>37</v>
      </c>
    </row>
    <row r="6" spans="1:11" ht="102" customHeight="1">
      <c r="A6" s="4" t="s">
        <v>15</v>
      </c>
      <c r="B6" s="8" t="s">
        <v>20</v>
      </c>
      <c r="C6" s="5">
        <v>45441</v>
      </c>
      <c r="D6" s="5">
        <f>C6+90</f>
        <v>45531</v>
      </c>
      <c r="E6" s="4" t="s">
        <v>29</v>
      </c>
      <c r="F6" s="4" t="s">
        <v>26</v>
      </c>
      <c r="G6" s="7" t="s">
        <v>34</v>
      </c>
      <c r="H6" s="6" t="s">
        <v>42</v>
      </c>
      <c r="I6" s="4" t="s">
        <v>16</v>
      </c>
      <c r="J6" s="4" t="s">
        <v>16</v>
      </c>
      <c r="K6" s="4" t="s">
        <v>38</v>
      </c>
    </row>
    <row r="7" spans="1:11" ht="114.4" customHeight="1">
      <c r="A7" s="4" t="s">
        <v>15</v>
      </c>
      <c r="B7" s="8" t="s">
        <v>21</v>
      </c>
      <c r="C7" s="5">
        <v>45467</v>
      </c>
      <c r="D7" s="5">
        <f>C7+90</f>
        <v>45557</v>
      </c>
      <c r="E7" s="4" t="s">
        <v>29</v>
      </c>
      <c r="F7" s="4" t="s">
        <v>27</v>
      </c>
      <c r="G7" s="6" t="s">
        <v>33</v>
      </c>
      <c r="H7" s="6" t="s">
        <v>43</v>
      </c>
      <c r="I7" s="4" t="s">
        <v>16</v>
      </c>
      <c r="J7" s="4" t="s">
        <v>16</v>
      </c>
      <c r="K7" s="4" t="s">
        <v>39</v>
      </c>
    </row>
  </sheetData>
  <autoFilter ref="A2:K7" xr:uid="{00000000-0009-0000-0000-000000000000}">
    <sortState xmlns:xlrd2="http://schemas.microsoft.com/office/spreadsheetml/2017/richdata2" ref="A3:K7">
      <sortCondition ref="A2:A7"/>
    </sortState>
  </autoFilter>
  <mergeCells count="1">
    <mergeCell ref="A1:K1"/>
  </mergeCells>
  <phoneticPr fontId="1" type="noConversion"/>
  <dataValidations count="6">
    <dataValidation type="list" allowBlank="1" showInputMessage="1" showErrorMessage="1" sqref="E1 E8:E1048576" xr:uid="{00000000-0002-0000-0000-000000000000}">
      <formula1>"常规项,可变项"</formula1>
    </dataValidation>
    <dataValidation type="list" allowBlank="1" showInputMessage="1" showErrorMessage="1" sqref="F1 F8:F1048576" xr:uid="{00000000-0002-0000-0000-000001000000}">
      <formula1>"关键控制点,客户抱怨,变更管理,PFMEA高风险,管理层高关注"</formula1>
    </dataValidation>
    <dataValidation type="list" allowBlank="1" showInputMessage="1" showErrorMessage="1" sqref="I1:J1 I8:J1048576" xr:uid="{00000000-0002-0000-0000-000002000000}">
      <formula1>"是,否"</formula1>
    </dataValidation>
    <dataValidation type="list" allowBlank="1" showInputMessage="1" showErrorMessage="1" sqref="I3:J7" xr:uid="{2ADA5608-72D5-475A-96EC-6C46405C9F5D}">
      <formula1>"Y,N"</formula1>
    </dataValidation>
    <dataValidation type="list" allowBlank="1" showInputMessage="1" showErrorMessage="1" sqref="F3:F7" xr:uid="{EE531C6D-6CE4-43FA-A03D-A2CB2EC72A37}">
      <formula1>"Key Control Point, PFMEA High Risk, Customer Complaint, High Management Attention, Change Management"</formula1>
    </dataValidation>
    <dataValidation type="list" allowBlank="1" showInputMessage="1" showErrorMessage="1" sqref="E3:E7" xr:uid="{230AC96B-A32D-4017-B891-AC23C60253FC}">
      <formula1>"Routine Item, Variable Item"</formula1>
    </dataValidation>
  </dataValidations>
  <pageMargins left="0.7" right="0.7" top="0.75" bottom="0.75" header="0.3" footer="0.3"/>
  <pageSetup paperSize="9" scale="38" fitToHeight="0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XING WANG</dc:creator>
  <cp:lastModifiedBy>Xing Wang</cp:lastModifiedBy>
  <cp:lastPrinted>2024-07-10T10:26:58Z</cp:lastPrinted>
  <dcterms:created xsi:type="dcterms:W3CDTF">2015-06-05T18:19:00Z</dcterms:created>
  <dcterms:modified xsi:type="dcterms:W3CDTF">2026-02-01T08:06:15Z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364E94AA48DC401E911D4D04D9F41B05_13</vt:lpwstr>
  </property>
  <property fmtid="{D5CDD505-2E9C-101B-9397-08002B2CF9AE}" pid="3" name="KSOProductBuildVer">
    <vt:lpwstr>2052-12.1.0.16929</vt:lpwstr>
  </property>
</Properties>
</file>