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wxpal\Desktop\"/>
    </mc:Choice>
  </mc:AlternateContent>
  <xr:revisionPtr revIDLastSave="0" documentId="13_ncr:1_{58463AB8-5F81-47D6-8EB7-5C4896B491A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PpC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―">#REF!</definedName>
    <definedName name="\0">'[1]#REF'!#REF!</definedName>
    <definedName name="\A">#REF!</definedName>
    <definedName name="\B">#REF!</definedName>
    <definedName name="\c">'[1]勤務ｼﾌﾄﾍﾞｰｽ表 下期'!#REF!</definedName>
    <definedName name="\d">#N/A</definedName>
    <definedName name="\e">'[1]勤務ｼﾌﾄﾍﾞｰｽ表 下期'!#REF!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'[1]#REF'!#REF!</definedName>
    <definedName name="\n">#N/A</definedName>
    <definedName name="\o">#N/A</definedName>
    <definedName name="\p">[2]車体構成!#REF!</definedName>
    <definedName name="\q">#REF!</definedName>
    <definedName name="\r">#N/A</definedName>
    <definedName name="\s">#N/A</definedName>
    <definedName name="\t">#N/A</definedName>
    <definedName name="\w">#REF!</definedName>
    <definedName name="\x">#N/A</definedName>
    <definedName name="\z">'[1]#REF'!#REF!</definedName>
    <definedName name="__1__123Graph_AC04C_ALL_L1" hidden="1">[3]MOTO!#REF!</definedName>
    <definedName name="__10__123Graph_AC04C_FR_T2" hidden="1">[3]MOTO!#REF!</definedName>
    <definedName name="__11__123Graph_LBL_AC04C_FF_L" hidden="1">[3]MOTO!#REF!</definedName>
    <definedName name="__12__123Graph_LBL_AC04C_FF_T" hidden="1">[3]MOTO!#REF!</definedName>
    <definedName name="__123Graph_A" hidden="1">[1]車会集約!$C$88:$I$88</definedName>
    <definedName name="__123Graph_A所要稼働ｸﾞﾗﾌ" hidden="1">[1]車会集約!$D$88:$I$88</definedName>
    <definedName name="__123Graph_B" hidden="1">[1]車会集約!$C$89:$I$89</definedName>
    <definedName name="__123Graph_B所要稼働ｸﾞﾗﾌ" hidden="1">[1]車会集約!$D$89:$I$89</definedName>
    <definedName name="__123Graph_LBL_A" hidden="1">[1]車会集約!$C$88:$I$88</definedName>
    <definedName name="__123Graph_LBL_B" hidden="1">[1]車会集約!$C$89:$I$89</definedName>
    <definedName name="__123Graph_X" hidden="1">[1]車会集約!$C$87:$I$87</definedName>
    <definedName name="__123Graph_X所要稼働ｸﾞﾗﾌ" hidden="1">[1]車会集約!$D$79:$I$79</definedName>
    <definedName name="__13__123Graph_LBL_AC04C_FR_L1" hidden="1">[3]MOTO!#REF!</definedName>
    <definedName name="__14__123Graph_LBL_AC04C_FR_L2" hidden="1">[3]MOTO!#REF!</definedName>
    <definedName name="__15__123Graph_LBL_AC04C_FR_T1" hidden="1">[3]MOTO!#REF!</definedName>
    <definedName name="__16__123Graph_LBL_AC04C_FR_T2" hidden="1">[3]MOTO!#REF!</definedName>
    <definedName name="__17__123Graph_XC04C_ALL_T1" hidden="1">[3]MOTO!#REF!</definedName>
    <definedName name="__18__123Graph_XC04C_ALL_T2" hidden="1">[3]MOTO!#REF!</definedName>
    <definedName name="__19__123Graph_XC04C_FF_L" hidden="1">[3]MOTO!#REF!</definedName>
    <definedName name="__2__123Graph_AC04C_ALL_L2" hidden="1">[3]MOTO!#REF!</definedName>
    <definedName name="__20__123Graph_XC04C_FF_T" hidden="1">[3]MOTO!#REF!</definedName>
    <definedName name="__21__123Graph_XC04C_FR_L1" hidden="1">[3]MOTO!#REF!</definedName>
    <definedName name="__22__123Graph_XC04C_FR_L2" hidden="1">[3]MOTO!#REF!</definedName>
    <definedName name="__23__123Graph_XC04C_FR_T1" hidden="1">[3]MOTO!#REF!</definedName>
    <definedName name="__24__123Graph_XC04C_FR_T2" hidden="1">[3]MOTO!#REF!</definedName>
    <definedName name="__3__123Graph_AC04C_ALL_T1" hidden="1">[3]MOTO!#REF!</definedName>
    <definedName name="__4__123Graph_AC04C_ALL_T2" hidden="1">[3]MOTO!#REF!</definedName>
    <definedName name="__5__123Graph_AC04C_FF_L" hidden="1">[3]MOTO!#REF!</definedName>
    <definedName name="__6__123Graph_AC04C_FF_T" hidden="1">[3]MOTO!#REF!</definedName>
    <definedName name="__7__123Graph_AC04C_FR_L1" hidden="1">[3]MOTO!#REF!</definedName>
    <definedName name="__8__123Graph_AC04C_FR_L2" hidden="1">[3]MOTO!#REF!</definedName>
    <definedName name="__9__123Graph_AC04C_FR_T1" hidden="1">[3]MOTO!#REF!</definedName>
    <definedName name="_1__123Graph_AC04C_ALL_L1" hidden="1">[3]MOTO!#REF!</definedName>
    <definedName name="_10__123Graph_AC04C_FR_T2" hidden="1">[3]MOTO!#REF!</definedName>
    <definedName name="_11__123Graph_LBL_AC04C_FF_L" hidden="1">[3]MOTO!#REF!</definedName>
    <definedName name="_12__123Graph_LBL_AC04C_FF_T" hidden="1">[3]MOTO!#REF!</definedName>
    <definedName name="_13__123Graph_LBL_AC04C_FR_L1" hidden="1">[3]MOTO!#REF!</definedName>
    <definedName name="_14__123Graph_LBL_AC04C_FR_L2" hidden="1">[3]MOTO!#REF!</definedName>
    <definedName name="_146予想在庫___COMP">#REF!</definedName>
    <definedName name="_15__123Graph_LBL_AC04C_FR_T1" hidden="1">[3]MOTO!#REF!</definedName>
    <definedName name="_16__123Graph_LBL_AC04C_FR_T2" hidden="1">[3]MOTO!#REF!</definedName>
    <definedName name="_17__123Graph_XC04C_ALL_T1" hidden="1">[3]MOTO!#REF!</definedName>
    <definedName name="_18__123Graph_XC04C_ALL_T2" hidden="1">[3]MOTO!#REF!</definedName>
    <definedName name="_19__123Graph_XC04C_FF_L" hidden="1">[3]MOTO!#REF!</definedName>
    <definedName name="_2__123Graph_AC04C_ALL_L2" hidden="1">[3]MOTO!#REF!</definedName>
    <definedName name="_20__123Graph_XC04C_FF_T" hidden="1">[3]MOTO!#REF!</definedName>
    <definedName name="_21__123Graph_XC04C_FR_L1" hidden="1">[3]MOTO!#REF!</definedName>
    <definedName name="_22__123Graph_XC04C_FR_L2" hidden="1">[3]MOTO!#REF!</definedName>
    <definedName name="_23__123Graph_XC04C_FR_T1" hidden="1">[3]MOTO!#REF!</definedName>
    <definedName name="_24__123Graph_XC04C_FR_T2" hidden="1">[3]MOTO!#REF!</definedName>
    <definedName name="_25A20000_">[4]星取表!#REF!</definedName>
    <definedName name="_26Crite">'[1]#REF'!#REF!</definedName>
    <definedName name="_27Criteria">'[1]#REF'!#REF!</definedName>
    <definedName name="_28Extr">'[1]#REF'!#REF!</definedName>
    <definedName name="_29Extract">'[1]#REF'!#REF!</definedName>
    <definedName name="_3__123Graph_AC04C_ALL_T1" hidden="1">[3]MOTO!#REF!</definedName>
    <definedName name="_30コード表_サプライヤ">#REF!</definedName>
    <definedName name="_4__123Graph_AC04C_ALL_T2" hidden="1">[3]MOTO!#REF!</definedName>
    <definedName name="_5__123Graph_AC04C_FF_L" hidden="1">[3]MOTO!#REF!</definedName>
    <definedName name="_6__123Graph_AC04C_FF_T" hidden="1">[3]MOTO!#REF!</definedName>
    <definedName name="_7__123Graph_AC04C_FR_L1" hidden="1">[3]MOTO!#REF!</definedName>
    <definedName name="_8__123Graph_AC04C_FR_L2" hidden="1">[3]MOTO!#REF!</definedName>
    <definedName name="_9__123Graph_AC04C_FR_T1" hidden="1">[3]MOTO!#REF!</definedName>
    <definedName name="_BRANCH_印刷1_">#REF!</definedName>
    <definedName name="_DEL1">[5]総合B!$G$10:$I$13,[5]総合B!$G$15:$I$18,[5]総合B!$G$20:$I$22,[5]総合B!$G$25:$I$28,[5]総合B!$G$31:$I$32,[5]総合B!$G$34:$I$36,[5]総合B!$G$39:$I$40,[5]総合B!$G$43:$I$43,[5]総合B!$K$10:$M$13,[5]総合B!$K$15:$M$18,[5]総合B!$K$20:$M$22,[5]総合B!$K$25:$M$28,[5]総合B!$K$31:$M$32,[5]総合B!$K$34:$M$36,[5]総合B!$K$39:$M$40,[5]総合B!$K$43:$M$43</definedName>
    <definedName name="_DEL2">[5]総合B!$O$10:$Q$13,[5]総合B!$O$15:$Q$18,[5]総合B!$O$20:$Q$22,[5]総合B!$O$25:$Q$28,[5]総合B!$O$31:$Q$32,[5]総合B!$O$34:$Q$36,[5]総合B!$O$39:$Q$40,[5]総合B!$O$43:$Q$43,[5]総合B!$S$10:$U$13,[5]総合B!$S$15:$U$18,[5]総合B!$S$20:$U$22,[5]総合B!$S$25:$U$28,[5]総合B!$S$31:$U$32,[5]総合B!$S$34:$U$36,[5]総合B!$S$39:$U$40,[5]総合B!$S$43:$U$43</definedName>
    <definedName name="_DEL3">[5]総合B!$W$10:$Y$13,[5]総合B!$W$15:$Y$18,[5]総合B!$W$20:$Y$22,[5]総合B!$W$25:$Y$28,[5]総合B!$W$31:$Y$32,[5]総合B!$W$34:$Y$36,[5]総合B!$W$39:$Y$40,[5]総合B!$W$43:$Y$43,[5]総合B!$AA$10:$AC$13,[5]総合B!$AA$15:$AC$18,[5]総合B!$AA$20:$AC$22,[5]総合B!$AA$25:$AC$28,[5]総合B!$AA$31:$AC$32,[5]総合B!$AA$34:$AC$36,[5]総合B!$AA$39:$AC$40,[5]総合B!$AA$43:$AC$43</definedName>
    <definedName name="_DEL4">[5]総合B!$AE$10:$AG$13,[5]総合B!$AE$15:$AG$18,[5]総合B!$AE$20:$AG$22,[5]総合B!$AE$25:$AG$28,[5]総合B!$AE$31:$AG$32,[5]総合B!$AE$34:$AG$36,[5]総合B!$AE$39:$AG$40,[5]総合B!$AE$43:$AG$43,[5]総合B!#REF!,[5]総合B!#REF!,[5]総合B!#REF!,[5]総合B!#REF!,[5]総合B!#REF!,[5]総合B!#REF!,[5]総合B!#REF!,[5]総合B!#REF!</definedName>
    <definedName name="_Fill" hidden="1">'[6]93'!$A$8:$A$110</definedName>
    <definedName name="_xlnm._FilterDatabase">#REF!</definedName>
    <definedName name="_Key1" hidden="1">'[6]93'!$A$8:$A$342</definedName>
    <definedName name="_Key2" hidden="1">#REF!</definedName>
    <definedName name="_NNA1">#REF!</definedName>
    <definedName name="_NSA1">#REF!</definedName>
    <definedName name="_Order1" hidden="1">1</definedName>
    <definedName name="_Order2" hidden="1">255</definedName>
    <definedName name="_Parse_In" hidden="1">#REF!</definedName>
    <definedName name="_Parse_Out" hidden="1">'[1]#REF'!#REF!</definedName>
    <definedName name="_PF_FLUSH_C_\LA">#REF!</definedName>
    <definedName name="_QYY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'[6]93'!$A$8:$E$342</definedName>
    <definedName name="_WCDA1..S1_____">#REF!</definedName>
    <definedName name="_WCHA1_">#REF!</definedName>
    <definedName name="_WCHH1..I1_">#REF!</definedName>
    <definedName name="_WCHN1..S1_">#REF!</definedName>
    <definedName name="_WP">[2]車体構成!#REF!</definedName>
    <definedName name="↑">#REF!</definedName>
    <definedName name="a">#REF!</definedName>
    <definedName name="ＡＡ">#REF!</definedName>
    <definedName name="AAA">#REF!</definedName>
    <definedName name="aaqq">#REF!</definedName>
    <definedName name="ASSY1">#REF!</definedName>
    <definedName name="B">'[7]block ﾜｺﾞﾝ'!#REF!</definedName>
    <definedName name="B20UPES">[8]!B20UPES</definedName>
    <definedName name="ＢＢ">#REF!</definedName>
    <definedName name="BLOCK">[9]集計結果!#REF!</definedName>
    <definedName name="BLOCKNAME">[9]集計結果!#REF!</definedName>
    <definedName name="BM_XRateEdit">[10]!BM_XRateEdit</definedName>
    <definedName name="BOOKSHEET">#REF!</definedName>
    <definedName name="CBGQ">#REF!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ommodity">'[11]After Sales Supplier #''s'!#REF!</definedName>
    <definedName name="company_name">#REF!</definedName>
    <definedName name="CORD">[12]IP標時xls!#REF!</definedName>
    <definedName name="_xlnm.Criteria">#REF!</definedName>
    <definedName name="Criteria_MI">#REF!</definedName>
    <definedName name="d">'[1]勤務ｼﾌﾄﾍﾞｰｽ表 下期'!#REF!</definedName>
    <definedName name="D53AB品">#REF!</definedName>
    <definedName name="D53Aﾏｽﾀｰｽｹｼﾞｭｰﾙ">#REF!</definedName>
    <definedName name="_xlnm.Database" hidden="1">#REF!</definedName>
    <definedName name="Database1">#REF!</definedName>
    <definedName name="Database2">#REF!</definedName>
    <definedName name="Database3">#REF!</definedName>
    <definedName name="Database4">#REF!</definedName>
    <definedName name="DATAGET">[13]!DATAGET</definedName>
    <definedName name="date">#REF!</definedName>
    <definedName name="DBAPASSWORD">[14]Config!$B$3</definedName>
    <definedName name="DBASID">[14]Config!$B$4</definedName>
    <definedName name="DBAUSER">[14]Config!$B$2</definedName>
    <definedName name="dd">#REF!</definedName>
    <definedName name="ddd">#REF!</definedName>
    <definedName name="evaluation">#REF!</definedName>
    <definedName name="Export">[15]!Export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44">[16]ETRS!#REF!</definedName>
    <definedName name="ExtendArea45">[16]ETRS!#REF!</definedName>
    <definedName name="ExtendArea46">[16]ETRS!#REF!</definedName>
    <definedName name="ExtendArea47">[16]ETRS!#REF!</definedName>
    <definedName name="ExtendArea48">[16]ETRS!#REF!</definedName>
    <definedName name="ExtendArea49">[16]ETRS!#REF!</definedName>
    <definedName name="ExtendArea5">#REF!</definedName>
    <definedName name="ExtendArea50">[16]ETRS!#REF!</definedName>
    <definedName name="ExtendArea51">[16]ETRS!#REF!</definedName>
    <definedName name="ExtendArea52">[16]ETRS!#REF!</definedName>
    <definedName name="ExtendArea53">[16]ETRS!#REF!</definedName>
    <definedName name="ExtendArea54">[16]ETRS!#REF!</definedName>
    <definedName name="ExtendArea55">[16]ETRS!#REF!</definedName>
    <definedName name="ExtendArea56">[16]ETRS!#REF!</definedName>
    <definedName name="ExtendArea6">#REF!</definedName>
    <definedName name="ExtendArea7">#REF!</definedName>
    <definedName name="ExtendArea8">#REF!</definedName>
    <definedName name="ExtendArea9">#REF!</definedName>
    <definedName name="_xlnm.Extract">#REF!</definedName>
    <definedName name="Extract_MI">#REF!</definedName>
    <definedName name="format_n">#REF!</definedName>
    <definedName name="format_s">[17]menu!#REF!</definedName>
    <definedName name="FR工程???図3">[18]FR管理工程図!$Y$6</definedName>
    <definedName name="FR工程??‐図２">[19]FR管理工程図!$B$1:$W$5</definedName>
    <definedName name="FR工程ﾌﾛｰ図3">[18]FR管理工程図!$Y$6</definedName>
    <definedName name="FR工程ﾌﾛ‐図２">[19]FR管理工程図!$B$1:$W$5</definedName>
    <definedName name="FUNCTIONCODE">[9]集計結果!#REF!</definedName>
    <definedName name="fy00">#REF!</definedName>
    <definedName name="G_Cells">#REF!</definedName>
    <definedName name="G2B_T007STDCRI">#REF!</definedName>
    <definedName name="HC">#REF!</definedName>
    <definedName name="ＨＥ">[18]FR管理工程図!$B$1:$W$5</definedName>
    <definedName name="HF1_HARN">#N/A</definedName>
    <definedName name="ＨＨＨＨ">[20]!Record13</definedName>
    <definedName name="HIHYOUJI">'[1]#REF'!#REF!</definedName>
    <definedName name="HTML1_1" hidden="1">"[HS_PS管理工程図.xls]ＦＭＥＡ原紙!$E$15:$F$17"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"HS_PS管理工程図.xls"</definedName>
    <definedName name="HTML1_4" hidden="1">"ＦＭＥＡ原紙"</definedName>
    <definedName name="HTML1_5" hidden="1">""</definedName>
    <definedName name="HTML1_6" hidden="1">-4146</definedName>
    <definedName name="HTML1_7" hidden="1">-4146</definedName>
    <definedName name="HTML1_8" hidden="1">"97/04/07"</definedName>
    <definedName name="HTML1_9" hidden="1">"佐々木圭"</definedName>
    <definedName name="HTML2_1" hidden="1">"[HS_PS管理工程図.xls]ＦＭＥＡ原紙!$G$14:$L$19"</definedName>
    <definedName name="HTML2_11" hidden="1">1</definedName>
    <definedName name="HTML2_12" hidden="1">"C:\WINDOWS\????????\FFF.htm"</definedName>
    <definedName name="HTML2_2" hidden="1">-4146</definedName>
    <definedName name="HTML2_3" hidden="1">"C:\WINDOWS\????????\ffz.htm"</definedName>
    <definedName name="HTMLCount" hidden="1">2</definedName>
    <definedName name="i">#REF!</definedName>
    <definedName name="INITDsh">[21]!INITDsh</definedName>
    <definedName name="JE">#REF!</definedName>
    <definedName name="ＪＪＪＪ">[22]!DATAGET</definedName>
    <definedName name="Jutyu_hanbai_input">[23]!Jutyu_hanbai_input</definedName>
    <definedName name="KDNPES">[8]!KDNPES</definedName>
    <definedName name="KETUGOU">'[1]#REF'!#REF!</definedName>
    <definedName name="lead_time_S">#REF!</definedName>
    <definedName name="lead_timeQ1_S">#REF!</definedName>
    <definedName name="lead_timeQ2_S">#REF!</definedName>
    <definedName name="lead_timeQ3_S">#REF!</definedName>
    <definedName name="lead_timeQ4_S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U0台当たり原低額">[8]!LU0台当たり原低額</definedName>
    <definedName name="LV0試作進捗行く">[8]!LV0試作進捗行く</definedName>
    <definedName name="LV0台当たり原低額行く">[8]!LV0台当たり原低額行く</definedName>
    <definedName name="LV0用材費原低行く">[8]!LV0用材費原低行く</definedName>
    <definedName name="M">'[1]#REF'!#REF!</definedName>
    <definedName name="M_Cells">#REF!</definedName>
    <definedName name="MAKER">#REF!</definedName>
    <definedName name="MAKER1">#REF!</definedName>
    <definedName name="Maker2">#REF!</definedName>
    <definedName name="MMENU">'[1]#REF'!#REF!</definedName>
    <definedName name="moto">#REF!</definedName>
    <definedName name="N">#N/A</definedName>
    <definedName name="N50原低">[8]!N50原低</definedName>
    <definedName name="NAME1">#REF!</definedName>
    <definedName name="NENV1">#REF!</definedName>
    <definedName name="NMEX1">#REF!</definedName>
    <definedName name="NNAQ2">#REF!</definedName>
    <definedName name="NPES">[8]!NPES</definedName>
    <definedName name="OMNMR176_ISIHSF">#REF!</definedName>
    <definedName name="OWNERPASSWORD">[14]Config!$C$3</definedName>
    <definedName name="OWNERSID">[14]Config!$C$4</definedName>
    <definedName name="OWNERUSER">[14]Config!$C$2</definedName>
    <definedName name="PONTIE">[24]!PONTIE</definedName>
    <definedName name="ｐｐｌ方針">#REF!</definedName>
    <definedName name="PPM_S">#REF!</definedName>
    <definedName name="PPMQ1_S">#REF!</definedName>
    <definedName name="PPMQ2_S">#REF!</definedName>
    <definedName name="PPMQ3_S">#REF!</definedName>
    <definedName name="PPMQ4_S">#REF!</definedName>
    <definedName name="_xlnm.Print_Area" localSheetId="0">PpCp!$A$1:$M$63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2">#REF!</definedName>
    <definedName name="print_end">#REF!</definedName>
    <definedName name="print_start">#REF!</definedName>
    <definedName name="_xlnm.Print_Titles">#REF!</definedName>
    <definedName name="Print_Titles_MI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Q_WORK">#REF!</definedName>
    <definedName name="qq">#REF!</definedName>
    <definedName name="R_FLUSH_B1..M10">#REF!</definedName>
    <definedName name="range">'[11]After Sales Supplier #''s'!#REF!</definedName>
    <definedName name="Record13">[25]!Record13</definedName>
    <definedName name="Record2">[25]!Record2</definedName>
    <definedName name="Record5">[8]!Record5</definedName>
    <definedName name="report_end">#REF!</definedName>
    <definedName name="report_start">#REF!</definedName>
    <definedName name="Response_S">#REF!</definedName>
    <definedName name="ResponseQ1_S">#REF!</definedName>
    <definedName name="ResponseQ2_S">#REF!</definedName>
    <definedName name="ResponseQ3_S">#REF!</definedName>
    <definedName name="ResponseQ4_S">#REF!</definedName>
    <definedName name="RR工程???図">[18]FR管理工程図!$Y$6</definedName>
    <definedName name="RR工程???図2">[19]FR管理工程図!$A$6:$AW$180</definedName>
    <definedName name="RR工程???図3">[18]FR管理工程図!$A$6:$AW$180</definedName>
    <definedName name="RR工程??‐図２">[19]FR管理工程図!$A$6:$AW$180</definedName>
    <definedName name="RR工程ﾌﾛｰ図">[18]FR管理工程図!$Y$6</definedName>
    <definedName name="RR工程ﾌﾛｰ図2">[19]FR管理工程図!$A$6:$AW$180</definedName>
    <definedName name="RR工程ﾌﾛｰ図3">[18]FR管理工程図!$A$6:$AW$180</definedName>
    <definedName name="RR工程ﾌﾛ‐図２">[19]FR管理工程図!$A$6:$AW$180</definedName>
    <definedName name="s">[18]FR管理工程図!$A$6:$AW$180</definedName>
    <definedName name="SAISHO">'[1]#REF'!#REF!</definedName>
    <definedName name="sch">'[26]MPL 技連:342A Block'!$A$1:$Q$66</definedName>
    <definedName name="SSC_n">#REF!</definedName>
    <definedName name="SSS">#REF!</definedName>
    <definedName name="SSSS">#REF!</definedName>
    <definedName name="sssss">#REF!</definedName>
    <definedName name="Supplier_Table_Global">#REF!</definedName>
    <definedName name="ｔａｂｌｅ">[18]FR管理工程図!$Y$6</definedName>
    <definedName name="title">#REF!</definedName>
    <definedName name="Total_S">#REF!</definedName>
    <definedName name="TotalQ1_S">#REF!</definedName>
    <definedName name="TotalQ2_S">#REF!</definedName>
    <definedName name="TotalQ3_S">#REF!</definedName>
    <definedName name="TotalQ4_S">#REF!</definedName>
    <definedName name="txtChargeTel">[27]設計通知!#REF!</definedName>
    <definedName name="txtSameProtoNo">[27]設計通知!#REF!</definedName>
    <definedName name="USERPASSWORD">[14]Config!$D$3</definedName>
    <definedName name="USERSID">[14]Config!$D$4</definedName>
    <definedName name="USERUSER">[14]Config!$D$2</definedName>
    <definedName name="Warranty_S">#REF!</definedName>
    <definedName name="WarrantyQ1_S">#REF!</definedName>
    <definedName name="WarrantyQ2_S">#REF!</definedName>
    <definedName name="WarrantyQ3_S">#REF!</definedName>
    <definedName name="WarrantyQ4_S">#REF!</definedName>
    <definedName name="Z_6993EFB0_1B89_4ECB_AA37_844F342C516A_.wvu.FilterData" hidden="1">#REF!</definedName>
    <definedName name="あ" hidden="1">1</definedName>
    <definedName name="あ１">#REF!</definedName>
    <definedName name="クエリー1">#REF!</definedName>
    <definedName name="クエリー2">#REF!</definedName>
    <definedName name="クエリー4">#REF!</definedName>
    <definedName name="ｺﾋﾟｰA">[9]集計結果!#REF!</definedName>
    <definedName name="ｺﾋﾟｰB">[9]集計結果!#REF!</definedName>
    <definedName name="さＳ">#REF!</definedName>
    <definedName name="しょげん" hidden="1">'[28]MPL 技連:342E BLOCK'!$A$6:$I$6</definedName>
    <definedName name="ｽｸﾗｯﾌﾟﾘﾀｰﾝ">#N/A</definedName>
    <definedName name="セット数">#REF!</definedName>
    <definedName name="セット数se_I">#REF!</definedName>
    <definedName name="たちあがり">#REF!</definedName>
    <definedName name="ﾌｧｲﾙ内容">#REF!</definedName>
    <definedName name="プレス">#REF!</definedName>
    <definedName name="プレス数se">#REF!</definedName>
    <definedName name="ﾏｽﾀｰ">#REF!</definedName>
    <definedName name="ﾒｲﾝﾒﾆｭ_">#N/A</definedName>
    <definedName name="レシオ">#REF!</definedName>
    <definedName name="レシオ数se">#REF!</definedName>
    <definedName name="保証体制ﾃｰﾌﾞﾙ">#REF!</definedName>
    <definedName name="比例費" hidden="1">255</definedName>
    <definedName name="編集領域">#REF!</definedName>
    <definedName name="標準.データ">#REF!</definedName>
    <definedName name="標準.部品NO">#REF!</definedName>
    <definedName name="標準車">#N/A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別">[29]日程!$A$1:$AJ$65</definedName>
    <definedName name="別紙">[29]進め方!$A$1:$AY$53</definedName>
    <definedName name="補給">#REF!</definedName>
    <definedName name="部得回数">#REF!</definedName>
    <definedName name="部得回数se_I">#REF!</definedName>
    <definedName name="部得数量">#REF!</definedName>
    <definedName name="部得数量se_I">#REF!</definedName>
    <definedName name="部品点数">#REF!</definedName>
    <definedName name="部品点数se_I">#REF!</definedName>
    <definedName name="部品番号名称">#REF!</definedName>
    <definedName name="部署">[9]集計結果!#REF!</definedName>
    <definedName name="材料">#REF!</definedName>
    <definedName name="材料倍率">#REF!</definedName>
    <definedName name="材料倍率se_I">#REF!</definedName>
    <definedName name="車加工コスト一覧表">#REF!</definedName>
    <definedName name="車種係数">#REF!</definedName>
    <definedName name="車種係数se_I">#REF!</definedName>
    <definedName name="単価表">#N/A</definedName>
    <definedName name="単価表時期">#N/A</definedName>
    <definedName name="第1四半期">#REF!</definedName>
    <definedName name="調整">#REF!</definedName>
    <definedName name="調整係数">#REF!</definedName>
    <definedName name="段取">#REF!</definedName>
    <definedName name="段取係数">#REF!</definedName>
    <definedName name="番号">'[30]#REF'!#REF!</definedName>
    <definedName name="範囲1">#REF!</definedName>
    <definedName name="鋼材費列番">#N/A</definedName>
    <definedName name="工長分">#REF!</definedName>
    <definedName name="工数倍率">#REF!</definedName>
    <definedName name="工数倍率se_I">#REF!</definedName>
    <definedName name="構想ﾃﾞｰﾀｰ">[9]集計結果!#REF!</definedName>
    <definedName name="構想書NO">[9]集計結果!#REF!</definedName>
    <definedName name="管理項目">#REF!</definedName>
    <definedName name="海外UPES">[8]!海外UPES</definedName>
    <definedName name="回付">[31]Sheet3!$B$10:$L$14</definedName>
    <definedName name="技開">[8]!技開</definedName>
    <definedName name="技術生産">#REF!</definedName>
    <definedName name="計算範囲">#N/A</definedName>
    <definedName name="加工F">#REF!</definedName>
    <definedName name="加工F数s">#REF!</definedName>
    <definedName name="加工V">#REF!</definedName>
    <definedName name="加工V数s">#REF!</definedName>
    <definedName name="検査">#REF!</definedName>
    <definedName name="検査V数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拠点NPES">[8]!拠点NPES</definedName>
    <definedName name="開催通知">#REF!</definedName>
    <definedName name="開始A">[9]集計結果!#REF!</definedName>
    <definedName name="課付">#REF!</definedName>
    <definedName name="冷延板厚ｴｷｽﾄﾗ">#N/A</definedName>
    <definedName name="立上りx">#REF!</definedName>
    <definedName name="目次1">#N/A</definedName>
    <definedName name="品保">#REF!</definedName>
    <definedName name="品保１">#REF!</definedName>
    <definedName name="品確内製">#REF!</definedName>
    <definedName name="切断">#REF!</definedName>
    <definedName name="切断係数">#REF!</definedName>
    <definedName name="全車">#N/A</definedName>
    <definedName name="熱延板厚ｴｷｽﾄﾗ">#N/A</definedName>
    <definedName name="社名">#REF!</definedName>
    <definedName name="社名ﾃｰﾌﾞﾙ">#REF!</definedName>
    <definedName name="設備ﾄﾝ数">#REF!</definedName>
    <definedName name="設備累積">#REF!</definedName>
    <definedName name="設計">#REF!</definedName>
    <definedName name="設計１">#REF!</definedName>
    <definedName name="設計２">[20]!Record13</definedName>
    <definedName name="設計３">[22]!DATAGET</definedName>
    <definedName name="設計４">[20]!Record2</definedName>
    <definedName name="設計５">#REF!</definedName>
    <definedName name="設計Ａ">#REF!</definedName>
    <definedName name="設計Ｂ">#REF!</definedName>
    <definedName name="設計Ｃ">[13]!DATAGET</definedName>
    <definedName name="生産技術">#REF!</definedName>
    <definedName name="生産技術２">[32]!DATAGET</definedName>
    <definedName name="生産前">#REF!</definedName>
    <definedName name="実行1">#N/A</definedName>
    <definedName name="実験">#REF!</definedName>
    <definedName name="実験進捗">#REF!</definedName>
    <definedName name="実験実験">#REF!</definedName>
    <definedName name="実験実験実験">#REF!</definedName>
    <definedName name="輸送">#REF!</definedName>
    <definedName name="輸送点数">#REF!</definedName>
    <definedName name="数据源">#REF!</definedName>
    <definedName name="素重列番">#N/A</definedName>
    <definedName name="宛先">#REF!</definedName>
    <definedName name="型設備保全">#REF!</definedName>
    <definedName name="修正">#REF!</definedName>
    <definedName name="修正係数">#REF!</definedName>
    <definedName name="印範">#N/A</definedName>
    <definedName name="印範_2">#N/A</definedName>
    <definedName name="印範1">#N/A</definedName>
    <definedName name="印範2">#N/A</definedName>
    <definedName name="印範3">#N/A</definedName>
    <definedName name="印範4">#N/A</definedName>
    <definedName name="印範7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刷">#N/A</definedName>
    <definedName name="印刷1">#REF!</definedName>
    <definedName name="原価企画">#REF!</definedName>
    <definedName name="再評価374">#REF!</definedName>
    <definedName name="正義">#REF!</definedName>
    <definedName name="正義1">#REF!</definedName>
    <definedName name="正義2">#REF!</definedName>
    <definedName name="正義3">[20]!Record13</definedName>
    <definedName name="直接型交換">#REF!</definedName>
    <definedName name="直線1">#REF!</definedName>
    <definedName name="直線2">#REF!</definedName>
    <definedName name="職制">#REF!</definedName>
    <definedName name="製重列番">#N/A</definedName>
    <definedName name="終了">[9]集計結果!#REF!</definedName>
    <definedName name="重要度テーブル">#REF!</definedName>
    <definedName name="主管">[9]集計結果!#REF!</definedName>
    <definedName name="総務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1" l="1"/>
  <c r="AY31" i="1" s="1"/>
  <c r="E24" i="1"/>
  <c r="E23" i="1"/>
  <c r="AD19" i="1"/>
  <c r="E18" i="1"/>
  <c r="E17" i="1"/>
  <c r="E16" i="1" s="1"/>
  <c r="BY13" i="1"/>
  <c r="BY7" i="1"/>
  <c r="DI13" i="1" l="1"/>
  <c r="DI15" i="1" s="1"/>
  <c r="DJ13" i="1"/>
  <c r="DJ11" i="1" s="1"/>
  <c r="DK13" i="1"/>
  <c r="DK15" i="1" s="1"/>
  <c r="DL13" i="1"/>
  <c r="DL15" i="1" s="1"/>
  <c r="DM13" i="1"/>
  <c r="DN13" i="1"/>
  <c r="DN15" i="1" s="1"/>
  <c r="BX13" i="1"/>
  <c r="BX15" i="1" s="1"/>
  <c r="AZ13" i="1"/>
  <c r="AZ11" i="1" s="1"/>
  <c r="BA13" i="1"/>
  <c r="BA11" i="1" s="1"/>
  <c r="BB13" i="1"/>
  <c r="BB11" i="1" s="1"/>
  <c r="BC13" i="1"/>
  <c r="BC15" i="1" s="1"/>
  <c r="BF13" i="1"/>
  <c r="BF11" i="1" s="1"/>
  <c r="BG13" i="1"/>
  <c r="BG11" i="1" s="1"/>
  <c r="BH13" i="1"/>
  <c r="BH15" i="1" s="1"/>
  <c r="BI13" i="1"/>
  <c r="BI15" i="1" s="1"/>
  <c r="BJ13" i="1"/>
  <c r="BJ11" i="1" s="1"/>
  <c r="BK13" i="1"/>
  <c r="BK15" i="1" s="1"/>
  <c r="BS13" i="1"/>
  <c r="BS15" i="1" s="1"/>
  <c r="CM13" i="1"/>
  <c r="CM15" i="1" s="1"/>
  <c r="CN13" i="1"/>
  <c r="CN11" i="1" s="1"/>
  <c r="CY13" i="1"/>
  <c r="CY11" i="1" s="1"/>
  <c r="CZ13" i="1"/>
  <c r="CZ15" i="1" s="1"/>
  <c r="DG13" i="1"/>
  <c r="DG15" i="1" s="1"/>
  <c r="DH13" i="1"/>
  <c r="DH11" i="1" s="1"/>
  <c r="AV31" i="1"/>
  <c r="CX31" i="1"/>
  <c r="CY31" i="1"/>
  <c r="CZ31" i="1"/>
  <c r="DA31" i="1"/>
  <c r="E28" i="1"/>
  <c r="AW31" i="1"/>
  <c r="AW32" i="1" s="1"/>
  <c r="AX31" i="1"/>
  <c r="CK31" i="1"/>
  <c r="BE31" i="1"/>
  <c r="Y31" i="1"/>
  <c r="DE31" i="1"/>
  <c r="BX31" i="1"/>
  <c r="AQ31" i="1"/>
  <c r="DD31" i="1"/>
  <c r="BW31" i="1"/>
  <c r="AP31" i="1"/>
  <c r="DB31" i="1"/>
  <c r="DC31" i="1"/>
  <c r="BV31" i="1"/>
  <c r="AO31" i="1"/>
  <c r="BU31" i="1"/>
  <c r="AN31" i="1"/>
  <c r="CN31" i="1"/>
  <c r="BG31" i="1"/>
  <c r="Z31" i="1"/>
  <c r="CM31" i="1"/>
  <c r="BF31" i="1"/>
  <c r="X31" i="1"/>
  <c r="P32" i="1"/>
  <c r="BY31" i="1"/>
  <c r="AH31" i="1"/>
  <c r="BR31" i="1"/>
  <c r="DK31" i="1"/>
  <c r="BT31" i="1"/>
  <c r="AG31" i="1"/>
  <c r="DJ31" i="1"/>
  <c r="BS31" i="1"/>
  <c r="AF31" i="1"/>
  <c r="P34" i="1"/>
  <c r="AY34" i="1" s="1"/>
  <c r="DI31" i="1"/>
  <c r="AE31" i="1"/>
  <c r="DH31" i="1"/>
  <c r="BQ31" i="1"/>
  <c r="AD31" i="1"/>
  <c r="P33" i="1"/>
  <c r="AY33" i="1" s="1"/>
  <c r="CQ31" i="1"/>
  <c r="BA31" i="1"/>
  <c r="CP31" i="1"/>
  <c r="AZ31" i="1"/>
  <c r="CS31" i="1"/>
  <c r="AT31" i="1"/>
  <c r="CR31" i="1"/>
  <c r="CO31" i="1"/>
  <c r="AR31" i="1"/>
  <c r="AS31" i="1"/>
  <c r="CI31" i="1"/>
  <c r="AC31" i="1"/>
  <c r="S31" i="1"/>
  <c r="CH31" i="1"/>
  <c r="AB31" i="1"/>
  <c r="V31" i="1"/>
  <c r="CD31" i="1"/>
  <c r="U31" i="1"/>
  <c r="T31" i="1"/>
  <c r="CA31" i="1"/>
  <c r="R31" i="1"/>
  <c r="Q31" i="1"/>
  <c r="CG31" i="1"/>
  <c r="AA31" i="1"/>
  <c r="CE31" i="1"/>
  <c r="CF31" i="1"/>
  <c r="W31" i="1"/>
  <c r="CC31" i="1"/>
  <c r="CB31" i="1"/>
  <c r="BZ31" i="1"/>
  <c r="BI31" i="1"/>
  <c r="BH31" i="1"/>
  <c r="BD31" i="1"/>
  <c r="DG31" i="1"/>
  <c r="BC31" i="1"/>
  <c r="DF31" i="1"/>
  <c r="BB31" i="1"/>
  <c r="AI31" i="1"/>
  <c r="AJ31" i="1"/>
  <c r="AK31" i="1"/>
  <c r="AL31" i="1"/>
  <c r="AM31" i="1"/>
  <c r="AU31" i="1"/>
  <c r="BK31" i="1"/>
  <c r="BP31" i="1"/>
  <c r="CL31" i="1"/>
  <c r="CS13" i="1"/>
  <c r="BM13" i="1"/>
  <c r="AG13" i="1"/>
  <c r="DD13" i="1"/>
  <c r="BW13" i="1"/>
  <c r="AP13" i="1"/>
  <c r="BV13" i="1"/>
  <c r="DC13" i="1"/>
  <c r="AO13" i="1"/>
  <c r="DB13" i="1"/>
  <c r="BU13" i="1"/>
  <c r="AN13" i="1"/>
  <c r="DA13" i="1"/>
  <c r="BT13" i="1"/>
  <c r="AM13" i="1"/>
  <c r="CL13" i="1"/>
  <c r="BE13" i="1"/>
  <c r="CK13" i="1"/>
  <c r="BD13" i="1"/>
  <c r="CJ13" i="1"/>
  <c r="AW13" i="1"/>
  <c r="BY15" i="1"/>
  <c r="CG13" i="1"/>
  <c r="CI13" i="1"/>
  <c r="AV13" i="1"/>
  <c r="CH13" i="1"/>
  <c r="AU13" i="1"/>
  <c r="AT13" i="1"/>
  <c r="CF13" i="1"/>
  <c r="AS13" i="1"/>
  <c r="DF13" i="1"/>
  <c r="BO13" i="1"/>
  <c r="DE13" i="1"/>
  <c r="CD13" i="1"/>
  <c r="CC13" i="1"/>
  <c r="CB13" i="1"/>
  <c r="CX13" i="1"/>
  <c r="AY13" i="1"/>
  <c r="CR13" i="1"/>
  <c r="CO13" i="1"/>
  <c r="CW13" i="1"/>
  <c r="AX13" i="1"/>
  <c r="AR13" i="1"/>
  <c r="CT13" i="1"/>
  <c r="AL13" i="1"/>
  <c r="BY11" i="1"/>
  <c r="AJ13" i="1"/>
  <c r="AH13" i="1"/>
  <c r="CV13" i="1"/>
  <c r="CQ13" i="1"/>
  <c r="CU13" i="1"/>
  <c r="AQ13" i="1"/>
  <c r="AI13" i="1"/>
  <c r="AK13" i="1"/>
  <c r="CP13" i="1"/>
  <c r="BR13" i="1"/>
  <c r="BQ13" i="1"/>
  <c r="DQ13" i="1"/>
  <c r="BP13" i="1"/>
  <c r="DP13" i="1"/>
  <c r="BN13" i="1"/>
  <c r="DO13" i="1"/>
  <c r="BL13" i="1"/>
  <c r="CT31" i="1"/>
  <c r="BM31" i="1"/>
  <c r="BZ13" i="1"/>
  <c r="CU31" i="1"/>
  <c r="BJ31" i="1"/>
  <c r="BL31" i="1"/>
  <c r="BO31" i="1"/>
  <c r="CA13" i="1"/>
  <c r="CV31" i="1"/>
  <c r="BN31" i="1"/>
  <c r="CJ31" i="1"/>
  <c r="CE13" i="1"/>
  <c r="CW31" i="1"/>
  <c r="E20" i="1"/>
  <c r="E21" i="1" s="1"/>
  <c r="E27" i="1"/>
  <c r="E26" i="1" s="1"/>
  <c r="E7" i="1"/>
  <c r="DA33" i="1" l="1"/>
  <c r="DM5" i="1"/>
  <c r="AK5" i="1"/>
  <c r="CZ33" i="1"/>
  <c r="CX33" i="1"/>
  <c r="DI11" i="1"/>
  <c r="DM15" i="1"/>
  <c r="DM18" i="1" s="1"/>
  <c r="DM7" i="1"/>
  <c r="DL11" i="1"/>
  <c r="BX11" i="1"/>
  <c r="DM11" i="1"/>
  <c r="DK11" i="1"/>
  <c r="DJ15" i="1"/>
  <c r="DJ18" i="1" s="1"/>
  <c r="DN11" i="1"/>
  <c r="AV32" i="1"/>
  <c r="AZ15" i="1"/>
  <c r="AZ18" i="1" s="1"/>
  <c r="BB15" i="1"/>
  <c r="BB18" i="1" s="1"/>
  <c r="BA15" i="1"/>
  <c r="BA18" i="1" s="1"/>
  <c r="BF15" i="1"/>
  <c r="BF18" i="1" s="1"/>
  <c r="CZ11" i="1"/>
  <c r="CY15" i="1"/>
  <c r="CY18" i="1" s="1"/>
  <c r="DH15" i="1"/>
  <c r="DH18" i="1" s="1"/>
  <c r="BI11" i="1"/>
  <c r="BH11" i="1"/>
  <c r="CN15" i="1"/>
  <c r="CN18" i="1" s="1"/>
  <c r="BK11" i="1"/>
  <c r="BC11" i="1"/>
  <c r="BJ15" i="1"/>
  <c r="BJ18" i="1" s="1"/>
  <c r="BG15" i="1"/>
  <c r="BG18" i="1" s="1"/>
  <c r="AW33" i="1"/>
  <c r="CM11" i="1"/>
  <c r="DA32" i="1"/>
  <c r="DG11" i="1"/>
  <c r="AV33" i="1"/>
  <c r="CY32" i="1"/>
  <c r="AX33" i="1"/>
  <c r="BS11" i="1"/>
  <c r="AX32" i="1"/>
  <c r="CZ32" i="1"/>
  <c r="CY33" i="1"/>
  <c r="CZ34" i="1"/>
  <c r="E8" i="1"/>
  <c r="CX32" i="1"/>
  <c r="AI15" i="1"/>
  <c r="AI18" i="1" s="1"/>
  <c r="AI11" i="1"/>
  <c r="BZ33" i="1"/>
  <c r="BZ34" i="1"/>
  <c r="BZ32" i="1"/>
  <c r="CU15" i="1"/>
  <c r="CU18" i="1" s="1"/>
  <c r="CU11" i="1"/>
  <c r="CC33" i="1"/>
  <c r="CC34" i="1"/>
  <c r="CC32" i="1"/>
  <c r="DI33" i="1"/>
  <c r="DI34" i="1"/>
  <c r="DI32" i="1"/>
  <c r="CV15" i="1"/>
  <c r="CV18" i="1" s="1"/>
  <c r="CV11" i="1"/>
  <c r="CE34" i="1"/>
  <c r="CE33" i="1"/>
  <c r="CE32" i="1"/>
  <c r="CU34" i="1"/>
  <c r="CU32" i="1"/>
  <c r="CU33" i="1"/>
  <c r="DJ33" i="1"/>
  <c r="DJ34" i="1"/>
  <c r="DJ32" i="1"/>
  <c r="AG33" i="1"/>
  <c r="AG32" i="1"/>
  <c r="AG34" i="1"/>
  <c r="R34" i="1"/>
  <c r="R32" i="1"/>
  <c r="R33" i="1"/>
  <c r="BT34" i="1"/>
  <c r="BT33" i="1"/>
  <c r="BT32" i="1"/>
  <c r="AW34" i="1"/>
  <c r="AR11" i="1"/>
  <c r="AR15" i="1"/>
  <c r="AR18" i="1" s="1"/>
  <c r="BU11" i="1"/>
  <c r="BU15" i="1"/>
  <c r="BU18" i="1" s="1"/>
  <c r="CA33" i="1"/>
  <c r="CA34" i="1"/>
  <c r="CA32" i="1"/>
  <c r="DK33" i="1"/>
  <c r="DK32" i="1"/>
  <c r="DK34" i="1"/>
  <c r="AX15" i="1"/>
  <c r="AX18" i="1" s="1"/>
  <c r="AX11" i="1"/>
  <c r="DB11" i="1"/>
  <c r="DB15" i="1"/>
  <c r="T34" i="1"/>
  <c r="T33" i="1"/>
  <c r="T32" i="1"/>
  <c r="BR34" i="1"/>
  <c r="BR33" i="1"/>
  <c r="BR32" i="1"/>
  <c r="BM32" i="1"/>
  <c r="BM33" i="1"/>
  <c r="BM34" i="1"/>
  <c r="CW15" i="1"/>
  <c r="CW18" i="1" s="1"/>
  <c r="CW11" i="1"/>
  <c r="AO15" i="1"/>
  <c r="AO18" i="1" s="1"/>
  <c r="AO11" i="1"/>
  <c r="AM34" i="1"/>
  <c r="AM33" i="1"/>
  <c r="AM32" i="1"/>
  <c r="U32" i="1"/>
  <c r="U34" i="1"/>
  <c r="U33" i="1"/>
  <c r="AH33" i="1"/>
  <c r="AH32" i="1"/>
  <c r="AH34" i="1"/>
  <c r="CO11" i="1"/>
  <c r="CO15" i="1"/>
  <c r="DC11" i="1"/>
  <c r="DC15" i="1"/>
  <c r="DC18" i="1" s="1"/>
  <c r="CD34" i="1"/>
  <c r="CD32" i="1"/>
  <c r="CD33" i="1"/>
  <c r="BY34" i="1"/>
  <c r="BY33" i="1"/>
  <c r="BY32" i="1"/>
  <c r="CR11" i="1"/>
  <c r="CR15" i="1"/>
  <c r="BV11" i="1"/>
  <c r="BV15" i="1"/>
  <c r="V34" i="1"/>
  <c r="V33" i="1"/>
  <c r="V32" i="1"/>
  <c r="AW15" i="1"/>
  <c r="AW18" i="1" s="1"/>
  <c r="AW11" i="1"/>
  <c r="AE33" i="1"/>
  <c r="AE32" i="1"/>
  <c r="AE34" i="1"/>
  <c r="AF33" i="1"/>
  <c r="AF32" i="1"/>
  <c r="AF34" i="1"/>
  <c r="BS34" i="1"/>
  <c r="BS33" i="1"/>
  <c r="BS32" i="1"/>
  <c r="BX18" i="1"/>
  <c r="CM18" i="1"/>
  <c r="DG18" i="1"/>
  <c r="CZ18" i="1"/>
  <c r="BC18" i="1"/>
  <c r="BY5" i="1"/>
  <c r="DN18" i="1"/>
  <c r="BI18" i="1"/>
  <c r="BH18" i="1"/>
  <c r="DL18" i="1"/>
  <c r="DK18" i="1"/>
  <c r="BY18" i="1"/>
  <c r="BS18" i="1"/>
  <c r="BK18" i="1"/>
  <c r="DI18" i="1"/>
  <c r="CG32" i="1"/>
  <c r="CG33" i="1"/>
  <c r="CG34" i="1"/>
  <c r="AL15" i="1"/>
  <c r="AL18" i="1" s="1"/>
  <c r="AL11" i="1"/>
  <c r="AY15" i="1"/>
  <c r="AY18" i="1" s="1"/>
  <c r="AY11" i="1"/>
  <c r="BF32" i="1"/>
  <c r="BF34" i="1"/>
  <c r="BF33" i="1"/>
  <c r="DD11" i="1"/>
  <c r="DD15" i="1"/>
  <c r="DD18" i="1" s="1"/>
  <c r="S34" i="1"/>
  <c r="S32" i="1"/>
  <c r="S33" i="1"/>
  <c r="AC33" i="1"/>
  <c r="AC32" i="1"/>
  <c r="AC34" i="1"/>
  <c r="CA11" i="1"/>
  <c r="CA15" i="1"/>
  <c r="CA18" i="1" s="1"/>
  <c r="DA34" i="1"/>
  <c r="BO32" i="1"/>
  <c r="BO34" i="1"/>
  <c r="BO33" i="1"/>
  <c r="BO15" i="1"/>
  <c r="BO18" i="1" s="1"/>
  <c r="BO11" i="1"/>
  <c r="AR32" i="1"/>
  <c r="AR34" i="1"/>
  <c r="AR33" i="1"/>
  <c r="AN34" i="1"/>
  <c r="AN33" i="1"/>
  <c r="AN32" i="1"/>
  <c r="BU34" i="1"/>
  <c r="BU33" i="1"/>
  <c r="BU32" i="1"/>
  <c r="AO33" i="1"/>
  <c r="AO32" i="1"/>
  <c r="AO34" i="1"/>
  <c r="AT32" i="1"/>
  <c r="AT34" i="1"/>
  <c r="AT33" i="1"/>
  <c r="BB32" i="1"/>
  <c r="BB34" i="1"/>
  <c r="BB33" i="1"/>
  <c r="AY32" i="1"/>
  <c r="DF33" i="1"/>
  <c r="DF34" i="1"/>
  <c r="DF32" i="1"/>
  <c r="DQ15" i="1"/>
  <c r="DQ18" i="1" s="1"/>
  <c r="DQ11" i="1"/>
  <c r="CH15" i="1"/>
  <c r="CH18" i="1" s="1"/>
  <c r="CH11" i="1"/>
  <c r="BP34" i="1"/>
  <c r="BP32" i="1"/>
  <c r="BP33" i="1"/>
  <c r="BC34" i="1"/>
  <c r="BC32" i="1"/>
  <c r="BC33" i="1"/>
  <c r="CP32" i="1"/>
  <c r="CP34" i="1"/>
  <c r="CP33" i="1"/>
  <c r="AP32" i="1"/>
  <c r="AP33" i="1"/>
  <c r="AP34" i="1"/>
  <c r="CW32" i="1"/>
  <c r="CW33" i="1"/>
  <c r="CW34" i="1"/>
  <c r="BQ15" i="1"/>
  <c r="BQ18" i="1" s="1"/>
  <c r="BQ11" i="1"/>
  <c r="AV11" i="1"/>
  <c r="AV15" i="1"/>
  <c r="AV18" i="1" s="1"/>
  <c r="DG33" i="1"/>
  <c r="DG34" i="1"/>
  <c r="DG32" i="1"/>
  <c r="BA32" i="1"/>
  <c r="BA34" i="1"/>
  <c r="BA33" i="1"/>
  <c r="BW32" i="1"/>
  <c r="BW33" i="1"/>
  <c r="BW34" i="1"/>
  <c r="DE34" i="1"/>
  <c r="DE32" i="1"/>
  <c r="DE33" i="1"/>
  <c r="CJ15" i="1"/>
  <c r="CJ11" i="1"/>
  <c r="Y32" i="1"/>
  <c r="Y34" i="1"/>
  <c r="Y33" i="1"/>
  <c r="BD11" i="1"/>
  <c r="BD15" i="1"/>
  <c r="BD18" i="1" s="1"/>
  <c r="CQ11" i="1"/>
  <c r="CQ15" i="1"/>
  <c r="CQ18" i="1" s="1"/>
  <c r="CK34" i="1"/>
  <c r="CK33" i="1"/>
  <c r="CK32" i="1"/>
  <c r="BE11" i="1"/>
  <c r="BE15" i="1"/>
  <c r="BE18" i="1" s="1"/>
  <c r="AH15" i="1"/>
  <c r="AH18" i="1" s="1"/>
  <c r="AH11" i="1"/>
  <c r="AJ15" i="1"/>
  <c r="AJ18" i="1" s="1"/>
  <c r="AJ11" i="1"/>
  <c r="AP15" i="1"/>
  <c r="AP18" i="1" s="1"/>
  <c r="AP11" i="1"/>
  <c r="CH33" i="1"/>
  <c r="CH34" i="1"/>
  <c r="CH32" i="1"/>
  <c r="CM32" i="1"/>
  <c r="CM33" i="1"/>
  <c r="CM34" i="1"/>
  <c r="CD15" i="1"/>
  <c r="CD11" i="1"/>
  <c r="BM11" i="1"/>
  <c r="BM15" i="1"/>
  <c r="CI32" i="1"/>
  <c r="CI33" i="1"/>
  <c r="CI34" i="1"/>
  <c r="CS11" i="1"/>
  <c r="CS15" i="1"/>
  <c r="CS18" i="1" s="1"/>
  <c r="AX34" i="1"/>
  <c r="AI33" i="1"/>
  <c r="AI34" i="1"/>
  <c r="AI32" i="1"/>
  <c r="BJ34" i="1"/>
  <c r="BJ33" i="1"/>
  <c r="BJ32" i="1"/>
  <c r="BP15" i="1"/>
  <c r="BP18" i="1" s="1"/>
  <c r="BP11" i="1"/>
  <c r="CE15" i="1"/>
  <c r="CE18" i="1" s="1"/>
  <c r="CE11" i="1"/>
  <c r="BR15" i="1"/>
  <c r="BR11" i="1"/>
  <c r="CI15" i="1"/>
  <c r="CI18" i="1" s="1"/>
  <c r="CI11" i="1"/>
  <c r="BD34" i="1"/>
  <c r="BD33" i="1"/>
  <c r="BD32" i="1"/>
  <c r="CQ32" i="1"/>
  <c r="CQ34" i="1"/>
  <c r="CQ33" i="1"/>
  <c r="DD32" i="1"/>
  <c r="DD33" i="1"/>
  <c r="DD34" i="1"/>
  <c r="CY34" i="1"/>
  <c r="BQ34" i="1"/>
  <c r="BQ32" i="1"/>
  <c r="BQ33" i="1"/>
  <c r="AQ11" i="1"/>
  <c r="AQ15" i="1"/>
  <c r="AQ18" i="1" s="1"/>
  <c r="DH33" i="1"/>
  <c r="DH34" i="1"/>
  <c r="DH32" i="1"/>
  <c r="CK15" i="1"/>
  <c r="CK18" i="1" s="1"/>
  <c r="CK11" i="1"/>
  <c r="W34" i="1"/>
  <c r="W33" i="1"/>
  <c r="W32" i="1"/>
  <c r="CF34" i="1"/>
  <c r="CF32" i="1"/>
  <c r="CF33" i="1"/>
  <c r="CL11" i="1"/>
  <c r="CL15" i="1"/>
  <c r="CL18" i="1" s="1"/>
  <c r="CX34" i="1"/>
  <c r="AU32" i="1"/>
  <c r="AU33" i="1"/>
  <c r="AU34" i="1"/>
  <c r="AN15" i="1"/>
  <c r="AN11" i="1"/>
  <c r="AB33" i="1"/>
  <c r="AB34" i="1"/>
  <c r="AB32" i="1"/>
  <c r="CX15" i="1"/>
  <c r="CX18" i="1" s="1"/>
  <c r="CX11" i="1"/>
  <c r="BW11" i="1"/>
  <c r="BW15" i="1"/>
  <c r="BW18" i="1" s="1"/>
  <c r="AL34" i="1"/>
  <c r="AL33" i="1"/>
  <c r="AL32" i="1"/>
  <c r="AV34" i="1"/>
  <c r="CV32" i="1"/>
  <c r="CV34" i="1"/>
  <c r="CV33" i="1"/>
  <c r="BG34" i="1"/>
  <c r="BG33" i="1"/>
  <c r="BG32" i="1"/>
  <c r="DE11" i="1"/>
  <c r="DE15" i="1"/>
  <c r="DE18" i="1" s="1"/>
  <c r="AJ33" i="1"/>
  <c r="AJ34" i="1"/>
  <c r="AJ32" i="1"/>
  <c r="CN32" i="1"/>
  <c r="CN33" i="1"/>
  <c r="CN34" i="1"/>
  <c r="CT34" i="1"/>
  <c r="CT32" i="1"/>
  <c r="CT33" i="1"/>
  <c r="BL11" i="1"/>
  <c r="BL15" i="1"/>
  <c r="BL18" i="1" s="1"/>
  <c r="DF11" i="1"/>
  <c r="DF15" i="1"/>
  <c r="CO32" i="1"/>
  <c r="CO33" i="1"/>
  <c r="CO34" i="1"/>
  <c r="DO15" i="1"/>
  <c r="DO18" i="1" s="1"/>
  <c r="DO11" i="1"/>
  <c r="DP15" i="1"/>
  <c r="DP18" i="1" s="1"/>
  <c r="DP11" i="1"/>
  <c r="AT11" i="1"/>
  <c r="AT15" i="1"/>
  <c r="AT18" i="1" s="1"/>
  <c r="CS32" i="1"/>
  <c r="CS34" i="1"/>
  <c r="CS33" i="1"/>
  <c r="AZ32" i="1"/>
  <c r="AZ33" i="1"/>
  <c r="AZ34" i="1"/>
  <c r="CJ34" i="1"/>
  <c r="CJ32" i="1"/>
  <c r="CJ33" i="1"/>
  <c r="CP11" i="1"/>
  <c r="CP15" i="1"/>
  <c r="CG15" i="1"/>
  <c r="CG18" i="1" s="1"/>
  <c r="CG11" i="1"/>
  <c r="BH34" i="1"/>
  <c r="BH33" i="1"/>
  <c r="BH32" i="1"/>
  <c r="AQ32" i="1"/>
  <c r="AQ33" i="1"/>
  <c r="AQ34" i="1"/>
  <c r="CB34" i="1"/>
  <c r="CB33" i="1"/>
  <c r="CB32" i="1"/>
  <c r="BE33" i="1"/>
  <c r="BE32" i="1"/>
  <c r="BE34" i="1"/>
  <c r="BN32" i="1"/>
  <c r="BN34" i="1"/>
  <c r="BN33" i="1"/>
  <c r="AM15" i="1"/>
  <c r="AM11" i="1"/>
  <c r="AA34" i="1"/>
  <c r="AA33" i="1"/>
  <c r="AA32" i="1"/>
  <c r="BT15" i="1"/>
  <c r="BT18" i="1" s="1"/>
  <c r="BT11" i="1"/>
  <c r="BZ15" i="1"/>
  <c r="BZ18" i="1" s="1"/>
  <c r="BZ11" i="1"/>
  <c r="DA11" i="1"/>
  <c r="DA15" i="1"/>
  <c r="Q33" i="1"/>
  <c r="Q34" i="1"/>
  <c r="Q32" i="1"/>
  <c r="CT11" i="1"/>
  <c r="CT15" i="1"/>
  <c r="CT18" i="1" s="1"/>
  <c r="X33" i="1"/>
  <c r="X32" i="1"/>
  <c r="X34" i="1"/>
  <c r="CB11" i="1"/>
  <c r="CB15" i="1"/>
  <c r="CB18" i="1" s="1"/>
  <c r="CC11" i="1"/>
  <c r="CC15" i="1"/>
  <c r="AG15" i="1"/>
  <c r="AG11" i="1"/>
  <c r="Z34" i="1"/>
  <c r="Z33" i="1"/>
  <c r="Z32" i="1"/>
  <c r="AK34" i="1"/>
  <c r="AK32" i="1"/>
  <c r="AK33" i="1"/>
  <c r="AS34" i="1"/>
  <c r="AS32" i="1"/>
  <c r="AS33" i="1"/>
  <c r="CL33" i="1"/>
  <c r="CL32" i="1"/>
  <c r="CL34" i="1"/>
  <c r="BL34" i="1"/>
  <c r="BL33" i="1"/>
  <c r="BL32" i="1"/>
  <c r="AS15" i="1"/>
  <c r="AS18" i="1" s="1"/>
  <c r="AS11" i="1"/>
  <c r="CR34" i="1"/>
  <c r="CR32" i="1"/>
  <c r="CR33" i="1"/>
  <c r="BN15" i="1"/>
  <c r="BN18" i="1" s="1"/>
  <c r="BN11" i="1"/>
  <c r="CF15" i="1"/>
  <c r="CF18" i="1" s="1"/>
  <c r="CF11" i="1"/>
  <c r="BV33" i="1"/>
  <c r="BV32" i="1"/>
  <c r="BV34" i="1"/>
  <c r="DC33" i="1"/>
  <c r="DC32" i="1"/>
  <c r="DC34" i="1"/>
  <c r="AU11" i="1"/>
  <c r="AU15" i="1"/>
  <c r="DB34" i="1"/>
  <c r="DB33" i="1"/>
  <c r="DB32" i="1"/>
  <c r="AK15" i="1"/>
  <c r="AK18" i="1" s="1"/>
  <c r="AK11" i="1"/>
  <c r="AK7" i="1"/>
  <c r="BK34" i="1"/>
  <c r="BK33" i="1"/>
  <c r="BK32" i="1"/>
  <c r="BI33" i="1"/>
  <c r="BI34" i="1"/>
  <c r="BI32" i="1"/>
  <c r="AD32" i="1"/>
  <c r="AD33" i="1"/>
  <c r="AD34" i="1"/>
  <c r="BX33" i="1"/>
  <c r="BX32" i="1"/>
  <c r="BX34" i="1"/>
  <c r="BV18" i="1" l="1"/>
  <c r="AU18" i="1"/>
  <c r="DF18" i="1"/>
  <c r="DA18" i="1"/>
  <c r="CJ18" i="1"/>
  <c r="CP18" i="1"/>
  <c r="CR18" i="1"/>
  <c r="AN18" i="1"/>
  <c r="CO18" i="1"/>
  <c r="DB18" i="1"/>
  <c r="BR18" i="1"/>
  <c r="CD18" i="1"/>
  <c r="BM18" i="1"/>
  <c r="AM18" i="1"/>
  <c r="AG18" i="1"/>
  <c r="CC18" i="1"/>
  <c r="CU20" i="1" l="1"/>
  <c r="BJ9" i="1" l="1"/>
  <c r="BJ7" i="1" s="1"/>
  <c r="DQ9" i="1"/>
  <c r="DQ7" i="1" s="1"/>
  <c r="BX5" i="1"/>
  <c r="CV9" i="1"/>
  <c r="CV7" i="1" s="1"/>
  <c r="CZ5" i="1"/>
  <c r="BN5" i="1"/>
  <c r="BI5" i="1"/>
  <c r="AQ9" i="1"/>
  <c r="AQ7" i="1" s="1"/>
  <c r="AO9" i="1"/>
  <c r="AO7" i="1" s="1"/>
  <c r="BO5" i="1"/>
  <c r="DP5" i="1"/>
  <c r="CL9" i="1"/>
  <c r="CL7" i="1" s="1"/>
  <c r="CT5" i="1"/>
  <c r="CK9" i="1"/>
  <c r="CK7" i="1" s="1"/>
  <c r="CA9" i="1"/>
  <c r="CA7" i="1" s="1"/>
  <c r="AI5" i="1"/>
  <c r="BD5" i="1"/>
  <c r="CY5" i="1"/>
  <c r="CO9" i="1"/>
  <c r="CO7" i="1" s="1"/>
  <c r="DH9" i="1"/>
  <c r="DH7" i="1" s="1"/>
  <c r="CZ9" i="1"/>
  <c r="CZ7" i="1" s="1"/>
  <c r="CE9" i="1"/>
  <c r="CE7" i="1" s="1"/>
  <c r="CH5" i="1"/>
  <c r="CK5" i="1"/>
  <c r="AT5" i="1"/>
  <c r="BC5" i="1"/>
  <c r="BG9" i="1"/>
  <c r="BG7" i="1" s="1"/>
  <c r="BK5" i="1"/>
  <c r="AZ5" i="1"/>
  <c r="CI9" i="1"/>
  <c r="CI7" i="1" s="1"/>
  <c r="BI9" i="1"/>
  <c r="BI7" i="1" s="1"/>
  <c r="DJ5" i="1"/>
  <c r="BH5" i="1"/>
  <c r="DC5" i="1"/>
  <c r="CH9" i="1"/>
  <c r="CH7" i="1" s="1"/>
  <c r="CM9" i="1"/>
  <c r="CM7" i="1" s="1"/>
  <c r="AZ9" i="1"/>
  <c r="AZ7" i="1" s="1"/>
  <c r="AL5" i="1"/>
  <c r="DD5" i="1"/>
  <c r="AH5" i="1"/>
  <c r="BH9" i="1"/>
  <c r="BH7" i="1" s="1"/>
  <c r="BD9" i="1"/>
  <c r="BD7" i="1" s="1"/>
  <c r="DJ9" i="1"/>
  <c r="DJ7" i="1" s="1"/>
  <c r="BA5" i="1"/>
  <c r="CS9" i="1"/>
  <c r="CS7" i="1" s="1"/>
  <c r="CD9" i="1"/>
  <c r="CD7" i="1" s="1"/>
  <c r="CB5" i="1"/>
  <c r="AH9" i="1"/>
  <c r="AH7" i="1" s="1"/>
  <c r="AO5" i="1"/>
  <c r="CV5" i="1"/>
  <c r="CY9" i="1"/>
  <c r="CY7" i="1" s="1"/>
  <c r="CR9" i="1"/>
  <c r="CR7" i="1" s="1"/>
  <c r="BF5" i="1"/>
  <c r="BA9" i="1"/>
  <c r="BA7" i="1" s="1"/>
  <c r="BF9" i="1"/>
  <c r="BF7" i="1" s="1"/>
  <c r="CA5" i="1"/>
  <c r="AQ5" i="1"/>
  <c r="CN9" i="1"/>
  <c r="CN7" i="1" s="1"/>
  <c r="BG5" i="1"/>
  <c r="DP9" i="1"/>
  <c r="DP7" i="1" s="1"/>
  <c r="BM9" i="1"/>
  <c r="BM7" i="1" s="1"/>
  <c r="DN5" i="1"/>
  <c r="BL5" i="1"/>
  <c r="BJ5" i="1"/>
  <c r="AL9" i="1"/>
  <c r="AL7" i="1" s="1"/>
  <c r="CX9" i="1"/>
  <c r="CX7" i="1" s="1"/>
  <c r="BP9" i="1"/>
  <c r="BP7" i="1" s="1"/>
  <c r="CP5" i="1"/>
  <c r="CU9" i="1"/>
  <c r="CU7" i="1" s="1"/>
  <c r="BC9" i="1"/>
  <c r="BC7" i="1" s="1"/>
  <c r="BS9" i="1"/>
  <c r="BS7" i="1" s="1"/>
  <c r="CN5" i="1"/>
  <c r="CW9" i="1"/>
  <c r="CW7" i="1" s="1"/>
  <c r="DN9" i="1"/>
  <c r="DN7" i="1" s="1"/>
  <c r="CM5" i="1"/>
  <c r="CF5" i="1"/>
  <c r="CT9" i="1"/>
  <c r="CT7" i="1" s="1"/>
  <c r="CF9" i="1"/>
  <c r="CF7" i="1" s="1"/>
  <c r="DC9" i="1"/>
  <c r="DC7" i="1" s="1"/>
  <c r="DQ5" i="1"/>
  <c r="BQ5" i="1"/>
  <c r="DH5" i="1"/>
  <c r="DK9" i="1"/>
  <c r="DK7" i="1" s="1"/>
  <c r="CQ5" i="1"/>
  <c r="CW5" i="1"/>
  <c r="BT9" i="1"/>
  <c r="BT7" i="1" s="1"/>
  <c r="BR5" i="1"/>
  <c r="DL9" i="1"/>
  <c r="DL7" i="1" s="1"/>
  <c r="DL5" i="1"/>
  <c r="BX9" i="1"/>
  <c r="BX7" i="1" s="1"/>
  <c r="DI9" i="1"/>
  <c r="DI7" i="1" s="1"/>
  <c r="BN9" i="1"/>
  <c r="BN7" i="1" s="1"/>
  <c r="BB9" i="1"/>
  <c r="BB7" i="1" s="1"/>
  <c r="DI5" i="1"/>
  <c r="AY9" i="1"/>
  <c r="AY7" i="1" s="1"/>
  <c r="BL9" i="1"/>
  <c r="BL7" i="1" s="1"/>
  <c r="CX5" i="1"/>
  <c r="CS5" i="1"/>
  <c r="CI5" i="1"/>
  <c r="BB5" i="1"/>
  <c r="AT9" i="1"/>
  <c r="AT7" i="1" s="1"/>
  <c r="DF5" i="1"/>
  <c r="CE5" i="1"/>
  <c r="BS5" i="1"/>
  <c r="DG5" i="1"/>
  <c r="BK9" i="1"/>
  <c r="BK7" i="1" s="1"/>
  <c r="CL5" i="1"/>
  <c r="BQ9" i="1"/>
  <c r="BQ7" i="1" s="1"/>
  <c r="AW9" i="1"/>
  <c r="AW7" i="1" s="1"/>
  <c r="DG9" i="1"/>
  <c r="DG7" i="1" s="1"/>
  <c r="DK5" i="1"/>
  <c r="CP9" i="1"/>
  <c r="CP7" i="1" s="1"/>
  <c r="BW9" i="1"/>
  <c r="BW7" i="1" s="1"/>
  <c r="CC5" i="1"/>
  <c r="BE5" i="1"/>
  <c r="BZ5" i="1"/>
  <c r="DO9" i="1"/>
  <c r="DO7" i="1" s="1"/>
  <c r="DE5" i="1"/>
  <c r="BE9" i="1"/>
  <c r="BE7" i="1" s="1"/>
  <c r="AN5" i="1"/>
  <c r="CR5" i="1"/>
  <c r="AJ5" i="1"/>
  <c r="CJ9" i="1"/>
  <c r="CJ7" i="1" s="1"/>
  <c r="CJ5" i="1"/>
  <c r="DD9" i="1"/>
  <c r="DD7" i="1" s="1"/>
  <c r="AX9" i="1"/>
  <c r="AX7" i="1" s="1"/>
  <c r="AM5" i="1"/>
  <c r="CG9" i="1"/>
  <c r="CG7" i="1" s="1"/>
  <c r="AS9" i="1"/>
  <c r="AS7" i="1" s="1"/>
  <c r="BU9" i="1"/>
  <c r="BU7" i="1" s="1"/>
  <c r="DA5" i="1"/>
  <c r="CQ9" i="1"/>
  <c r="CQ7" i="1" s="1"/>
  <c r="AP5" i="1"/>
  <c r="AU9" i="1"/>
  <c r="AU7" i="1" s="1"/>
  <c r="BR9" i="1"/>
  <c r="BR7" i="1" s="1"/>
  <c r="DO5" i="1"/>
  <c r="CO5" i="1"/>
  <c r="AR9" i="1"/>
  <c r="AR7" i="1" s="1"/>
  <c r="AY5" i="1"/>
  <c r="CG5" i="1"/>
  <c r="CC9" i="1"/>
  <c r="CC7" i="1" s="1"/>
  <c r="DA9" i="1"/>
  <c r="DA7" i="1" s="1"/>
  <c r="BV9" i="1"/>
  <c r="BV7" i="1" s="1"/>
  <c r="BO9" i="1"/>
  <c r="BO7" i="1" s="1"/>
  <c r="BM5" i="1"/>
  <c r="DE9" i="1"/>
  <c r="DE7" i="1" s="1"/>
  <c r="AW5" i="1"/>
  <c r="BT5" i="1"/>
  <c r="AG9" i="1"/>
  <c r="AG7" i="1" s="1"/>
  <c r="AM9" i="1"/>
  <c r="AM7" i="1" s="1"/>
  <c r="BP5" i="1"/>
  <c r="AN9" i="1"/>
  <c r="AN7" i="1" s="1"/>
  <c r="AR5" i="1"/>
  <c r="AS5" i="1"/>
  <c r="CU5" i="1"/>
  <c r="DB5" i="1"/>
  <c r="DF9" i="1"/>
  <c r="DF7" i="1" s="1"/>
  <c r="BV5" i="1"/>
  <c r="BU5" i="1"/>
  <c r="BZ9" i="1"/>
  <c r="BZ7" i="1" s="1"/>
  <c r="AI9" i="1"/>
  <c r="AI7" i="1" s="1"/>
  <c r="AJ9" i="1"/>
  <c r="AJ7" i="1" s="1"/>
  <c r="AU5" i="1"/>
  <c r="CD5" i="1"/>
  <c r="AV5" i="1"/>
  <c r="CB9" i="1"/>
  <c r="CB7" i="1" s="1"/>
  <c r="AP9" i="1"/>
  <c r="AP7" i="1" s="1"/>
  <c r="BW5" i="1"/>
  <c r="AX5" i="1"/>
  <c r="DB9" i="1"/>
  <c r="DB7" i="1" s="1"/>
  <c r="AV9" i="1"/>
  <c r="AV7" i="1" s="1"/>
  <c r="AG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7" authorId="0" shapeId="0" xr:uid="{00000000-0006-0000-0000-000001000000}">
      <text>
        <r>
          <rPr>
            <b/>
            <sz val="11"/>
            <rFont val="宋体"/>
            <charset val="134"/>
          </rPr>
          <t>作者:</t>
        </r>
        <r>
          <rPr>
            <sz val="11"/>
            <rFont val="宋体"/>
            <charset val="134"/>
          </rPr>
          <t xml:space="preserve">
双侧公差: Cp=T/(6*σ)
上限公差: Cp=(T</t>
        </r>
        <r>
          <rPr>
            <sz val="8"/>
            <color indexed="10"/>
            <rFont val="宋体"/>
            <charset val="134"/>
          </rPr>
          <t>U</t>
        </r>
        <r>
          <rPr>
            <sz val="6"/>
            <rFont val="宋体"/>
            <charset val="134"/>
          </rPr>
          <t xml:space="preserve"> </t>
        </r>
        <r>
          <rPr>
            <sz val="11"/>
            <rFont val="宋体"/>
            <charset val="134"/>
          </rPr>
          <t>-μ)/(3*σ)
下限公差: Cp=(μ-T</t>
        </r>
        <r>
          <rPr>
            <sz val="8"/>
            <color indexed="10"/>
            <rFont val="宋体"/>
            <charset val="134"/>
          </rPr>
          <t>L</t>
        </r>
        <r>
          <rPr>
            <sz val="11"/>
            <rFont val="宋体"/>
            <charset val="134"/>
          </rPr>
          <t xml:space="preserve">)/(3*σ)
</t>
        </r>
      </text>
    </comment>
    <comment ref="D8" authorId="0" shapeId="0" xr:uid="{00000000-0006-0000-0000-000002000000}">
      <text>
        <r>
          <rPr>
            <b/>
            <sz val="11"/>
            <rFont val="宋体"/>
            <charset val="134"/>
          </rPr>
          <t>作者:</t>
        </r>
        <r>
          <rPr>
            <sz val="11"/>
            <rFont val="宋体"/>
            <charset val="134"/>
          </rPr>
          <t xml:space="preserve">
   Cpk = (1-K)Cp</t>
        </r>
      </text>
    </comment>
    <comment ref="D10" authorId="0" shapeId="0" xr:uid="{00000000-0006-0000-0000-000003000000}">
      <text>
        <r>
          <rPr>
            <b/>
            <sz val="11"/>
            <rFont val="宋体"/>
            <charset val="134"/>
          </rPr>
          <t>作者:</t>
        </r>
        <r>
          <rPr>
            <sz val="11"/>
            <rFont val="宋体"/>
            <charset val="134"/>
          </rPr>
          <t xml:space="preserve">
双侧公差及上限公差:
         </t>
        </r>
        <r>
          <rPr>
            <sz val="11"/>
            <color indexed="10"/>
            <rFont val="宋体"/>
            <charset val="134"/>
          </rPr>
          <t>规格值+上公差</t>
        </r>
        <r>
          <rPr>
            <sz val="11"/>
            <rFont val="宋体"/>
            <charset val="134"/>
          </rPr>
          <t xml:space="preserve">
下限公差:
          </t>
        </r>
        <r>
          <rPr>
            <sz val="11"/>
            <color indexed="10"/>
            <rFont val="宋体"/>
            <charset val="134"/>
          </rPr>
          <t>规格值</t>
        </r>
      </text>
    </comment>
    <comment ref="D11" authorId="0" shapeId="0" xr:uid="{00000000-0006-0000-0000-000004000000}">
      <text>
        <r>
          <rPr>
            <b/>
            <sz val="11"/>
            <rFont val="宋体"/>
            <charset val="134"/>
          </rPr>
          <t>作者:</t>
        </r>
        <r>
          <rPr>
            <sz val="11"/>
            <rFont val="宋体"/>
            <charset val="134"/>
          </rPr>
          <t xml:space="preserve">
双侧公差及下限公差:
         </t>
        </r>
        <r>
          <rPr>
            <sz val="11"/>
            <color indexed="10"/>
            <rFont val="宋体"/>
            <charset val="134"/>
          </rPr>
          <t>规格值+下公差</t>
        </r>
        <r>
          <rPr>
            <sz val="11"/>
            <rFont val="宋体"/>
            <charset val="134"/>
          </rPr>
          <t xml:space="preserve">
下限公差:
          </t>
        </r>
        <r>
          <rPr>
            <sz val="11"/>
            <color indexed="10"/>
            <rFont val="宋体"/>
            <charset val="134"/>
          </rPr>
          <t>规格值</t>
        </r>
      </text>
    </comment>
    <comment ref="D13" authorId="0" shapeId="0" xr:uid="{00000000-0006-0000-0000-000005000000}">
      <text>
        <r>
          <rPr>
            <b/>
            <sz val="11"/>
            <rFont val="宋体"/>
            <charset val="134"/>
          </rPr>
          <t>作者:</t>
        </r>
        <r>
          <rPr>
            <sz val="11"/>
            <rFont val="宋体"/>
            <charset val="134"/>
          </rPr>
          <t xml:space="preserve">
上下公差: T = T</t>
        </r>
        <r>
          <rPr>
            <sz val="8"/>
            <color indexed="10"/>
            <rFont val="宋体"/>
            <charset val="134"/>
          </rPr>
          <t xml:space="preserve">U </t>
        </r>
        <r>
          <rPr>
            <sz val="11"/>
            <rFont val="宋体"/>
            <charset val="134"/>
          </rPr>
          <t>- T</t>
        </r>
        <r>
          <rPr>
            <sz val="8"/>
            <color indexed="10"/>
            <rFont val="宋体"/>
            <charset val="134"/>
          </rPr>
          <t xml:space="preserve">L
</t>
        </r>
        <r>
          <rPr>
            <sz val="11"/>
            <rFont val="宋体"/>
            <charset val="134"/>
          </rPr>
          <t>上公差:   T = T</t>
        </r>
        <r>
          <rPr>
            <sz val="8"/>
            <color indexed="10"/>
            <rFont val="宋体"/>
            <charset val="134"/>
          </rPr>
          <t>U</t>
        </r>
        <r>
          <rPr>
            <sz val="11"/>
            <rFont val="宋体"/>
            <charset val="134"/>
          </rPr>
          <t xml:space="preserve"> - 规格值
下公差:   T = 规格值 - T</t>
        </r>
        <r>
          <rPr>
            <sz val="8"/>
            <color indexed="10"/>
            <rFont val="宋体"/>
            <charset val="134"/>
          </rPr>
          <t>L</t>
        </r>
      </text>
    </comment>
    <comment ref="D14" authorId="0" shapeId="0" xr:uid="{00000000-0006-0000-0000-000006000000}">
      <text>
        <r>
          <rPr>
            <b/>
            <sz val="11"/>
            <rFont val="宋体"/>
            <charset val="134"/>
          </rPr>
          <t>作者:</t>
        </r>
        <r>
          <rPr>
            <sz val="11"/>
            <rFont val="宋体"/>
            <charset val="134"/>
          </rPr>
          <t xml:space="preserve">
双侧公差: </t>
        </r>
        <r>
          <rPr>
            <sz val="11"/>
            <color indexed="10"/>
            <rFont val="宋体"/>
            <charset val="134"/>
          </rPr>
          <t>M=规格值+(上公差+下公差)/2</t>
        </r>
        <r>
          <rPr>
            <sz val="11"/>
            <rFont val="宋体"/>
            <charset val="134"/>
          </rPr>
          <t xml:space="preserve">
上公差:   </t>
        </r>
        <r>
          <rPr>
            <sz val="11"/>
            <color indexed="10"/>
            <rFont val="宋体"/>
            <charset val="134"/>
          </rPr>
          <t>M=规格值+上公差/2</t>
        </r>
        <r>
          <rPr>
            <sz val="11"/>
            <rFont val="宋体"/>
            <charset val="134"/>
          </rPr>
          <t xml:space="preserve">
下公差:   </t>
        </r>
        <r>
          <rPr>
            <sz val="11"/>
            <color indexed="10"/>
            <rFont val="宋体"/>
            <charset val="134"/>
          </rPr>
          <t>M=规格值+下公差/2</t>
        </r>
      </text>
    </comment>
    <comment ref="D20" authorId="0" shapeId="0" xr:uid="{00000000-0006-0000-0000-000007000000}">
      <text>
        <r>
          <rPr>
            <b/>
            <sz val="11"/>
            <rFont val="宋体"/>
            <charset val="134"/>
          </rPr>
          <t>作者:</t>
        </r>
        <r>
          <rPr>
            <sz val="11"/>
            <rFont val="宋体"/>
            <charset val="134"/>
          </rPr>
          <t xml:space="preserve">
　　ε=ABS(M-μ)</t>
        </r>
      </text>
    </comment>
    <comment ref="D21" authorId="0" shapeId="0" xr:uid="{00000000-0006-0000-0000-000008000000}">
      <text>
        <r>
          <rPr>
            <b/>
            <sz val="11"/>
            <rFont val="宋体"/>
            <charset val="134"/>
          </rPr>
          <t>作者:</t>
        </r>
        <r>
          <rPr>
            <sz val="11"/>
            <rFont val="宋体"/>
            <charset val="134"/>
          </rPr>
          <t xml:space="preserve">
     K = 2ε/T</t>
        </r>
      </text>
    </comment>
    <comment ref="D26" authorId="0" shapeId="0" xr:uid="{00000000-0006-0000-0000-000009000000}">
      <text>
        <r>
          <rPr>
            <b/>
            <sz val="11"/>
            <color indexed="10"/>
            <rFont val="宋体"/>
            <charset val="134"/>
          </rPr>
          <t>作者:</t>
        </r>
        <r>
          <rPr>
            <sz val="11"/>
            <color indexed="10"/>
            <rFont val="宋体"/>
            <charset val="134"/>
          </rPr>
          <t xml:space="preserve">
合计估算不良率</t>
        </r>
        <r>
          <rPr>
            <sz val="11"/>
            <rFont val="宋体"/>
            <charset val="134"/>
          </rPr>
          <t>为</t>
        </r>
        <r>
          <rPr>
            <sz val="11"/>
            <color indexed="10"/>
            <rFont val="宋体"/>
            <charset val="134"/>
          </rPr>
          <t>上下限估算不良率</t>
        </r>
        <r>
          <rPr>
            <sz val="11"/>
            <rFont val="宋体"/>
            <charset val="134"/>
          </rPr>
          <t>之和.</t>
        </r>
      </text>
    </comment>
    <comment ref="D27" authorId="0" shapeId="0" xr:uid="{00000000-0006-0000-0000-00000A000000}">
      <text>
        <r>
          <rPr>
            <b/>
            <sz val="11"/>
            <rFont val="宋体"/>
            <charset val="134"/>
          </rPr>
          <t>作者:</t>
        </r>
        <r>
          <rPr>
            <sz val="11"/>
            <rFont val="宋体"/>
            <charset val="134"/>
          </rPr>
          <t xml:space="preserve">
P(X≤Pu)=1-Φ((Pu-μ)/σ)</t>
        </r>
      </text>
    </comment>
    <comment ref="D28" authorId="0" shapeId="0" xr:uid="{00000000-0006-0000-0000-00000B000000}">
      <text>
        <r>
          <rPr>
            <b/>
            <sz val="11"/>
            <rFont val="宋体"/>
            <charset val="134"/>
          </rPr>
          <t>作者:</t>
        </r>
        <r>
          <rPr>
            <sz val="11"/>
            <rFont val="宋体"/>
            <charset val="134"/>
          </rPr>
          <t xml:space="preserve">
P(X≤P</t>
        </r>
        <r>
          <rPr>
            <sz val="8"/>
            <rFont val="宋体"/>
            <charset val="134"/>
          </rPr>
          <t>L</t>
        </r>
        <r>
          <rPr>
            <sz val="11"/>
            <rFont val="宋体"/>
            <charset val="134"/>
          </rPr>
          <t>)=Φ(</t>
        </r>
        <r>
          <rPr>
            <sz val="11"/>
            <color indexed="10"/>
            <rFont val="宋体"/>
            <charset val="134"/>
          </rPr>
          <t>(P</t>
        </r>
        <r>
          <rPr>
            <sz val="8"/>
            <color indexed="10"/>
            <rFont val="宋体"/>
            <charset val="134"/>
          </rPr>
          <t>L</t>
        </r>
        <r>
          <rPr>
            <sz val="11"/>
            <color indexed="10"/>
            <rFont val="宋体"/>
            <charset val="134"/>
          </rPr>
          <t>-μ)/σ</t>
        </r>
        <r>
          <rPr>
            <sz val="11"/>
            <rFont val="宋体"/>
            <charset val="134"/>
          </rPr>
          <t>)</t>
        </r>
      </text>
    </comment>
  </commentList>
</comments>
</file>

<file path=xl/sharedStrings.xml><?xml version="1.0" encoding="utf-8"?>
<sst xmlns="http://schemas.openxmlformats.org/spreadsheetml/2006/main" count="40" uniqueCount="40">
  <si>
    <t>9.95+0.1</t>
  </si>
  <si>
    <t>TL</t>
  </si>
  <si>
    <t>M</t>
  </si>
  <si>
    <t>TU</t>
  </si>
  <si>
    <t>无偏差
正态分布
数据</t>
  </si>
  <si>
    <t>样本
正态分布
数据</t>
  </si>
  <si>
    <t>点间距</t>
  </si>
  <si>
    <t>Part No.</t>
  </si>
  <si>
    <t>Part Name</t>
  </si>
  <si>
    <t>Client</t>
  </si>
  <si>
    <t>Date</t>
  </si>
  <si>
    <t>Owner</t>
  </si>
  <si>
    <t>design specification</t>
  </si>
  <si>
    <r>
      <t>χ</t>
    </r>
    <r>
      <rPr>
        <vertAlign val="subscript"/>
        <sz val="12"/>
        <rFont val="Calibri"/>
        <family val="2"/>
        <scheme val="minor"/>
      </rPr>
      <t>1</t>
    </r>
  </si>
  <si>
    <r>
      <t>χ</t>
    </r>
    <r>
      <rPr>
        <vertAlign val="subscript"/>
        <sz val="12"/>
        <rFont val="Calibri"/>
        <family val="2"/>
        <scheme val="minor"/>
      </rPr>
      <t>2</t>
    </r>
  </si>
  <si>
    <r>
      <t>χ</t>
    </r>
    <r>
      <rPr>
        <vertAlign val="subscript"/>
        <sz val="12"/>
        <rFont val="Calibri"/>
        <family val="2"/>
        <scheme val="minor"/>
      </rPr>
      <t>3</t>
    </r>
  </si>
  <si>
    <r>
      <t>χ</t>
    </r>
    <r>
      <rPr>
        <vertAlign val="subscript"/>
        <sz val="12"/>
        <rFont val="Calibri"/>
        <family val="2"/>
        <scheme val="minor"/>
      </rPr>
      <t>4</t>
    </r>
  </si>
  <si>
    <r>
      <t>χ</t>
    </r>
    <r>
      <rPr>
        <vertAlign val="subscript"/>
        <sz val="12"/>
        <rFont val="Calibri"/>
        <family val="2"/>
        <scheme val="minor"/>
      </rPr>
      <t>5</t>
    </r>
  </si>
  <si>
    <t>Cp</t>
  </si>
  <si>
    <t>Cpk</t>
  </si>
  <si>
    <t>Group</t>
  </si>
  <si>
    <t>sample inspection data</t>
  </si>
  <si>
    <r>
      <t>Upper Specification Limit  T</t>
    </r>
    <r>
      <rPr>
        <vertAlign val="subscript"/>
        <sz val="12"/>
        <rFont val="Calibri"/>
        <family val="2"/>
        <scheme val="minor"/>
      </rPr>
      <t>U</t>
    </r>
  </si>
  <si>
    <r>
      <t>Lower Specification Limit  T</t>
    </r>
    <r>
      <rPr>
        <vertAlign val="subscript"/>
        <sz val="12"/>
        <rFont val="Calibri"/>
        <family val="2"/>
        <scheme val="minor"/>
      </rPr>
      <t>L</t>
    </r>
  </si>
  <si>
    <t>Tolerance Width  T</t>
  </si>
  <si>
    <t>Target Value    M</t>
  </si>
  <si>
    <t>Sample Mean       μ</t>
  </si>
  <si>
    <t>Sample Size         n</t>
  </si>
  <si>
    <t>Sample Maximum</t>
  </si>
  <si>
    <t>Sample Minimum</t>
  </si>
  <si>
    <t>Estimated Total Defect Rate</t>
  </si>
  <si>
    <t>Estimated Upper-Tail Defect Rate</t>
  </si>
  <si>
    <t>Estimated Lower-Tail Defect Rate</t>
  </si>
  <si>
    <t>Mean Shift Ratio     K</t>
  </si>
  <si>
    <t>Mean Shift    ε</t>
  </si>
  <si>
    <r>
      <t xml:space="preserve">Sample Standard Deviation </t>
    </r>
    <r>
      <rPr>
        <sz val="12"/>
        <rFont val="Aptos Narrow"/>
        <family val="2"/>
      </rPr>
      <t>σ</t>
    </r>
  </si>
  <si>
    <t>Nominal Value</t>
  </si>
  <si>
    <t>Lower Tolerance</t>
  </si>
  <si>
    <t>Upper Torlance</t>
  </si>
  <si>
    <t>Cp Automatic Calculation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</si>
</sst>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_ "/>
    <numFmt numFmtId="165" formatCode="0.000_ "/>
    <numFmt numFmtId="166" formatCode="0.0_ "/>
    <numFmt numFmtId="167" formatCode="0.00_ "/>
    <numFmt numFmtId="168" formatCode="0.00000_ "/>
    <numFmt numFmtId="169" formatCode="0_);[Red]\(0\)"/>
    <numFmt numFmtId="170" formatCode="0.0_);[Red]\(0.0\)"/>
  </numFmts>
  <fonts count="19">
    <font>
      <sz val="11"/>
      <color theme="1"/>
      <name val="Calibri"/>
      <charset val="134"/>
      <scheme val="minor"/>
    </font>
    <font>
      <sz val="12"/>
      <name val="宋体"/>
      <charset val="134"/>
    </font>
    <font>
      <sz val="8"/>
      <name val="宋体"/>
      <charset val="134"/>
    </font>
    <font>
      <sz val="11"/>
      <name val="宋体"/>
      <charset val="134"/>
    </font>
    <font>
      <b/>
      <sz val="11"/>
      <color indexed="10"/>
      <name val="宋体"/>
      <charset val="134"/>
    </font>
    <font>
      <b/>
      <sz val="11"/>
      <name val="宋体"/>
      <charset val="134"/>
    </font>
    <font>
      <sz val="6"/>
      <name val="宋体"/>
      <charset val="134"/>
    </font>
    <font>
      <sz val="8"/>
      <color indexed="10"/>
      <name val="宋体"/>
      <charset val="134"/>
    </font>
    <font>
      <sz val="11"/>
      <color indexed="10"/>
      <name val="宋体"/>
      <charset val="134"/>
    </font>
    <font>
      <sz val="9"/>
      <color rgb="FF000000"/>
      <name val="宋体"/>
      <charset val="134"/>
    </font>
    <font>
      <sz val="12"/>
      <name val="Calibri"/>
      <family val="2"/>
      <scheme val="minor"/>
    </font>
    <font>
      <sz val="12"/>
      <color indexed="10"/>
      <name val="Calibri"/>
      <family val="2"/>
      <scheme val="minor"/>
    </font>
    <font>
      <vertAlign val="subscript"/>
      <sz val="12"/>
      <name val="Calibri"/>
      <family val="2"/>
      <scheme val="minor"/>
    </font>
    <font>
      <sz val="12"/>
      <color indexed="22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14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67">
    <xf numFmtId="0" fontId="0" fillId="0" borderId="0" xfId="0">
      <alignment vertical="center"/>
    </xf>
    <xf numFmtId="0" fontId="10" fillId="2" borderId="0" xfId="1" applyFont="1" applyFill="1">
      <alignment vertical="center"/>
    </xf>
    <xf numFmtId="0" fontId="10" fillId="0" borderId="0" xfId="1" applyFont="1">
      <alignment vertical="center"/>
    </xf>
    <xf numFmtId="0" fontId="10" fillId="0" borderId="0" xfId="1" applyFont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3" borderId="5" xfId="1" applyFont="1" applyFill="1" applyBorder="1">
      <alignment vertical="center"/>
    </xf>
    <xf numFmtId="164" fontId="10" fillId="3" borderId="5" xfId="1" applyNumberFormat="1" applyFont="1" applyFill="1" applyBorder="1" applyAlignment="1">
      <alignment horizontal="center" vertical="center"/>
    </xf>
    <xf numFmtId="0" fontId="11" fillId="5" borderId="0" xfId="1" applyFont="1" applyFill="1" applyProtection="1">
      <alignment vertical="center"/>
      <protection locked="0"/>
    </xf>
    <xf numFmtId="0" fontId="10" fillId="4" borderId="8" xfId="1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3" fillId="5" borderId="0" xfId="1" applyFont="1" applyFill="1" applyAlignment="1" applyProtection="1">
      <alignment horizontal="center" vertical="center"/>
      <protection locked="0"/>
    </xf>
    <xf numFmtId="0" fontId="13" fillId="2" borderId="0" xfId="1" applyFont="1" applyFill="1">
      <alignment vertical="center"/>
    </xf>
    <xf numFmtId="0" fontId="14" fillId="0" borderId="5" xfId="1" applyFont="1" applyBorder="1" applyAlignment="1" applyProtection="1">
      <alignment horizontal="center" vertical="center"/>
      <protection locked="0"/>
    </xf>
    <xf numFmtId="49" fontId="10" fillId="0" borderId="0" xfId="1" applyNumberFormat="1" applyFont="1" applyAlignment="1">
      <alignment horizontal="center" vertical="center"/>
    </xf>
    <xf numFmtId="0" fontId="10" fillId="4" borderId="13" xfId="1" applyFont="1" applyFill="1" applyBorder="1" applyAlignment="1">
      <alignment horizontal="center" vertical="center"/>
    </xf>
    <xf numFmtId="166" fontId="10" fillId="0" borderId="16" xfId="1" applyNumberFormat="1" applyFont="1" applyBorder="1" applyAlignment="1">
      <alignment horizontal="center" vertical="center"/>
    </xf>
    <xf numFmtId="169" fontId="10" fillId="0" borderId="0" xfId="1" applyNumberFormat="1" applyFont="1" applyAlignment="1">
      <alignment horizontal="center" vertical="center"/>
    </xf>
    <xf numFmtId="170" fontId="10" fillId="0" borderId="16" xfId="1" applyNumberFormat="1" applyFont="1" applyBorder="1" applyAlignment="1">
      <alignment horizontal="center" vertical="center"/>
    </xf>
    <xf numFmtId="167" fontId="10" fillId="0" borderId="16" xfId="1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0" fillId="6" borderId="5" xfId="1" applyFont="1" applyFill="1" applyBorder="1">
      <alignment vertical="center"/>
    </xf>
    <xf numFmtId="0" fontId="10" fillId="6" borderId="5" xfId="1" applyFont="1" applyFill="1" applyBorder="1" applyAlignment="1">
      <alignment horizontal="center" vertical="center"/>
    </xf>
    <xf numFmtId="0" fontId="10" fillId="0" borderId="16" xfId="1" applyFont="1" applyBorder="1" applyAlignment="1">
      <alignment horizontal="center" vertical="center" wrapText="1"/>
    </xf>
    <xf numFmtId="168" fontId="10" fillId="0" borderId="16" xfId="1" applyNumberFormat="1" applyFont="1" applyBorder="1" applyAlignment="1">
      <alignment horizontal="center" vertical="center"/>
    </xf>
    <xf numFmtId="0" fontId="10" fillId="7" borderId="5" xfId="1" applyFont="1" applyFill="1" applyBorder="1">
      <alignment vertical="center"/>
    </xf>
    <xf numFmtId="0" fontId="10" fillId="7" borderId="5" xfId="1" applyFont="1" applyFill="1" applyBorder="1" applyAlignment="1">
      <alignment horizontal="center" vertical="center"/>
    </xf>
    <xf numFmtId="165" fontId="10" fillId="0" borderId="16" xfId="1" applyNumberFormat="1" applyFont="1" applyBorder="1" applyAlignment="1">
      <alignment horizontal="center" vertical="center"/>
    </xf>
    <xf numFmtId="0" fontId="10" fillId="8" borderId="5" xfId="1" applyFont="1" applyFill="1" applyBorder="1">
      <alignment vertical="center"/>
    </xf>
    <xf numFmtId="164" fontId="10" fillId="8" borderId="5" xfId="1" applyNumberFormat="1" applyFont="1" applyFill="1" applyBorder="1" applyAlignment="1">
      <alignment horizontal="center" vertical="center"/>
    </xf>
    <xf numFmtId="0" fontId="10" fillId="8" borderId="5" xfId="1" applyFont="1" applyFill="1" applyBorder="1" applyAlignment="1">
      <alignment horizontal="center" vertical="center"/>
    </xf>
    <xf numFmtId="168" fontId="10" fillId="0" borderId="0" xfId="1" applyNumberFormat="1" applyFont="1" applyAlignment="1">
      <alignment horizontal="center" vertical="center"/>
    </xf>
    <xf numFmtId="0" fontId="10" fillId="10" borderId="5" xfId="1" applyFont="1" applyFill="1" applyBorder="1">
      <alignment vertical="center"/>
    </xf>
    <xf numFmtId="164" fontId="10" fillId="10" borderId="5" xfId="1" applyNumberFormat="1" applyFont="1" applyFill="1" applyBorder="1" applyAlignment="1">
      <alignment horizontal="center" vertical="center"/>
    </xf>
    <xf numFmtId="0" fontId="10" fillId="10" borderId="11" xfId="1" applyFont="1" applyFill="1" applyBorder="1">
      <alignment vertical="center"/>
    </xf>
    <xf numFmtId="164" fontId="10" fillId="10" borderId="11" xfId="1" applyNumberFormat="1" applyFont="1" applyFill="1" applyBorder="1" applyAlignment="1">
      <alignment horizontal="center" vertical="center"/>
    </xf>
    <xf numFmtId="0" fontId="10" fillId="11" borderId="12" xfId="1" applyFont="1" applyFill="1" applyBorder="1">
      <alignment vertical="center"/>
    </xf>
    <xf numFmtId="165" fontId="10" fillId="11" borderId="12" xfId="1" applyNumberFormat="1" applyFont="1" applyFill="1" applyBorder="1" applyAlignment="1">
      <alignment horizontal="center" vertical="center"/>
    </xf>
    <xf numFmtId="0" fontId="10" fillId="11" borderId="5" xfId="1" applyFont="1" applyFill="1" applyBorder="1">
      <alignment vertical="center"/>
    </xf>
    <xf numFmtId="165" fontId="10" fillId="11" borderId="5" xfId="1" applyNumberFormat="1" applyFont="1" applyFill="1" applyBorder="1" applyAlignment="1">
      <alignment horizontal="center" vertical="center"/>
    </xf>
    <xf numFmtId="11" fontId="10" fillId="3" borderId="5" xfId="1" applyNumberFormat="1" applyFont="1" applyFill="1" applyBorder="1" applyAlignment="1">
      <alignment horizontal="center" vertical="center" shrinkToFit="1"/>
    </xf>
    <xf numFmtId="165" fontId="10" fillId="0" borderId="0" xfId="1" applyNumberFormat="1" applyFont="1" applyAlignment="1">
      <alignment horizontal="center" vertical="center"/>
    </xf>
    <xf numFmtId="0" fontId="17" fillId="3" borderId="5" xfId="1" applyFont="1" applyFill="1" applyBorder="1">
      <alignment vertical="center"/>
    </xf>
    <xf numFmtId="0" fontId="16" fillId="0" borderId="0" xfId="1" applyFont="1">
      <alignment vertical="center"/>
    </xf>
    <xf numFmtId="0" fontId="10" fillId="0" borderId="0" xfId="1" applyFont="1" applyAlignment="1">
      <alignment vertical="center" wrapText="1"/>
    </xf>
    <xf numFmtId="0" fontId="15" fillId="2" borderId="0" xfId="1" applyFont="1" applyFill="1" applyAlignment="1">
      <alignment horizontal="center" vertical="center"/>
    </xf>
    <xf numFmtId="0" fontId="10" fillId="0" borderId="16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4" borderId="7" xfId="1" applyFont="1" applyFill="1" applyBorder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10" fillId="4" borderId="8" xfId="1" applyFont="1" applyFill="1" applyBorder="1" applyAlignment="1">
      <alignment horizontal="center" vertical="center"/>
    </xf>
    <xf numFmtId="0" fontId="10" fillId="0" borderId="3" xfId="1" applyFont="1" applyBorder="1" applyAlignment="1" applyProtection="1">
      <alignment horizontal="center" vertical="center"/>
      <protection locked="0"/>
    </xf>
    <xf numFmtId="0" fontId="10" fillId="0" borderId="4" xfId="1" applyFont="1" applyBorder="1" applyAlignment="1" applyProtection="1">
      <alignment horizontal="center" vertical="center"/>
      <protection locked="0"/>
    </xf>
    <xf numFmtId="0" fontId="10" fillId="2" borderId="2" xfId="1" applyFont="1" applyFill="1" applyBorder="1" applyAlignment="1">
      <alignment horizontal="center" vertical="center"/>
    </xf>
    <xf numFmtId="0" fontId="10" fillId="0" borderId="5" xfId="1" applyFont="1" applyBorder="1" applyAlignment="1" applyProtection="1">
      <alignment horizontal="left" vertical="center"/>
      <protection locked="0"/>
    </xf>
    <xf numFmtId="14" fontId="10" fillId="0" borderId="3" xfId="2" applyNumberFormat="1" applyFont="1" applyBorder="1" applyAlignment="1" applyProtection="1">
      <alignment horizontal="center" vertical="center"/>
      <protection locked="0"/>
    </xf>
    <xf numFmtId="0" fontId="10" fillId="0" borderId="4" xfId="2" applyFont="1" applyBorder="1" applyAlignment="1" applyProtection="1">
      <alignment horizontal="center" vertical="center"/>
      <protection locked="0"/>
    </xf>
    <xf numFmtId="0" fontId="10" fillId="0" borderId="3" xfId="2" applyFont="1" applyBorder="1" applyAlignment="1" applyProtection="1">
      <alignment horizontal="center" vertical="center"/>
      <protection locked="0"/>
    </xf>
    <xf numFmtId="0" fontId="10" fillId="9" borderId="10" xfId="1" applyFont="1" applyFill="1" applyBorder="1" applyAlignment="1">
      <alignment horizontal="center" vertical="center" wrapText="1"/>
    </xf>
    <xf numFmtId="0" fontId="10" fillId="9" borderId="9" xfId="1" applyFont="1" applyFill="1" applyBorder="1" applyAlignment="1">
      <alignment horizontal="center" vertical="center" wrapText="1"/>
    </xf>
  </cellXfs>
  <cellStyles count="3">
    <cellStyle name="Normal" xfId="0" builtinId="0"/>
    <cellStyle name="常规_CPK汇总-沈建平" xfId="2" xr:uid="{00000000-0005-0000-0000-000034000000}"/>
    <cellStyle name="常规_Cp值自动测算表及控制图-上海大冢" xfId="1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bg1"/>
                </a:solidFill>
                <a:latin typeface="+mn-lt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lang="en-NZ" sz="1200" b="1" i="0" u="none" strike="noStrike" baseline="0">
                <a:solidFill>
                  <a:schemeClr val="bg1"/>
                </a:solidFill>
                <a:latin typeface="+mn-lt"/>
              </a:rPr>
              <a:t>Scatter Plot of Sample Data</a:t>
            </a:r>
            <a:endParaRPr lang="zh-CN" altLang="en-US" sz="1200" b="1" i="0" u="none" strike="noStrike" baseline="0">
              <a:solidFill>
                <a:schemeClr val="bg1"/>
              </a:solidFill>
              <a:latin typeface="+mn-lt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7.4619533967341431E-2"/>
          <c:y val="5.0982327209098871E-2"/>
        </c:manualLayout>
      </c:layout>
      <c:overlay val="0"/>
      <c:spPr>
        <a:solidFill>
          <a:srgbClr val="00B050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2828307704746353E-2"/>
          <c:y val="4.4557262510018417E-2"/>
          <c:w val="0.86947457799607097"/>
          <c:h val="0.89155761124265065"/>
        </c:manualLayout>
      </c:layout>
      <c:lineChart>
        <c:grouping val="standard"/>
        <c:varyColors val="0"/>
        <c:ser>
          <c:idx val="0"/>
          <c:order val="0"/>
          <c:spPr>
            <a:ln w="12700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4"/>
            <c:spPr>
              <a:solidFill>
                <a:srgbClr val="000080"/>
              </a:solidFill>
              <a:ln w="9525" cap="flat" cmpd="sng" algn="ctr">
                <a:solidFill>
                  <a:srgbClr val="00FF00"/>
                </a:solidFill>
                <a:prstDash val="solid"/>
                <a:round/>
              </a:ln>
            </c:spPr>
          </c:marker>
          <c:val>
            <c:numRef>
              <c:f>PpCp!$P$31:$AS$31</c:f>
              <c:numCache>
                <c:formatCode>0.000_ </c:formatCode>
                <c:ptCount val="30"/>
                <c:pt idx="0">
                  <c:v>9.9700000000000006</c:v>
                </c:pt>
                <c:pt idx="1">
                  <c:v>9.9600000000000009</c:v>
                </c:pt>
                <c:pt idx="2">
                  <c:v>9.9700000000000006</c:v>
                </c:pt>
                <c:pt idx="3">
                  <c:v>9.98</c:v>
                </c:pt>
                <c:pt idx="4">
                  <c:v>9.9600000000000009</c:v>
                </c:pt>
                <c:pt idx="5">
                  <c:v>9.98</c:v>
                </c:pt>
                <c:pt idx="6">
                  <c:v>9.98</c:v>
                </c:pt>
                <c:pt idx="7">
                  <c:v>9.9600000000000009</c:v>
                </c:pt>
                <c:pt idx="8">
                  <c:v>9.9600000000000009</c:v>
                </c:pt>
                <c:pt idx="9">
                  <c:v>9.99</c:v>
                </c:pt>
                <c:pt idx="10">
                  <c:v>9.9600000000000009</c:v>
                </c:pt>
                <c:pt idx="11">
                  <c:v>9.9700000000000006</c:v>
                </c:pt>
                <c:pt idx="12">
                  <c:v>9.98</c:v>
                </c:pt>
                <c:pt idx="13">
                  <c:v>9.9600000000000009</c:v>
                </c:pt>
                <c:pt idx="14">
                  <c:v>9.9700000000000006</c:v>
                </c:pt>
                <c:pt idx="15">
                  <c:v>9.9700000000000006</c:v>
                </c:pt>
                <c:pt idx="16">
                  <c:v>9.9700000000000006</c:v>
                </c:pt>
                <c:pt idx="17">
                  <c:v>9.9600000000000009</c:v>
                </c:pt>
                <c:pt idx="18">
                  <c:v>9.98</c:v>
                </c:pt>
                <c:pt idx="19">
                  <c:v>9.9600000000000009</c:v>
                </c:pt>
                <c:pt idx="20">
                  <c:v>9.9700000000000006</c:v>
                </c:pt>
                <c:pt idx="21">
                  <c:v>9.98</c:v>
                </c:pt>
                <c:pt idx="22">
                  <c:v>9.99</c:v>
                </c:pt>
                <c:pt idx="23">
                  <c:v>9.9600000000000009</c:v>
                </c:pt>
                <c:pt idx="24">
                  <c:v>9.9600000000000009</c:v>
                </c:pt>
                <c:pt idx="25">
                  <c:v>9.9600000000000009</c:v>
                </c:pt>
                <c:pt idx="26">
                  <c:v>9.99</c:v>
                </c:pt>
                <c:pt idx="27">
                  <c:v>9.9700000000000006</c:v>
                </c:pt>
                <c:pt idx="28">
                  <c:v>9.98</c:v>
                </c:pt>
                <c:pt idx="29">
                  <c:v>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9-4882-A56E-88F45E17C5BB}"/>
            </c:ext>
          </c:extLst>
        </c:ser>
        <c:ser>
          <c:idx val="1"/>
          <c:order val="1"/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PpCp!$P$32:$AS$32</c:f>
              <c:numCache>
                <c:formatCode>0.000_ </c:formatCode>
                <c:ptCount val="30"/>
                <c:pt idx="0">
                  <c:v>10.050000000000001</c:v>
                </c:pt>
                <c:pt idx="1">
                  <c:v>10.050000000000001</c:v>
                </c:pt>
                <c:pt idx="2">
                  <c:v>10.050000000000001</c:v>
                </c:pt>
                <c:pt idx="3">
                  <c:v>10.050000000000001</c:v>
                </c:pt>
                <c:pt idx="4">
                  <c:v>10.050000000000001</c:v>
                </c:pt>
                <c:pt idx="5">
                  <c:v>10.050000000000001</c:v>
                </c:pt>
                <c:pt idx="6">
                  <c:v>10.050000000000001</c:v>
                </c:pt>
                <c:pt idx="7">
                  <c:v>10.050000000000001</c:v>
                </c:pt>
                <c:pt idx="8">
                  <c:v>10.050000000000001</c:v>
                </c:pt>
                <c:pt idx="9">
                  <c:v>10.050000000000001</c:v>
                </c:pt>
                <c:pt idx="10">
                  <c:v>10.050000000000001</c:v>
                </c:pt>
                <c:pt idx="11">
                  <c:v>10.050000000000001</c:v>
                </c:pt>
                <c:pt idx="12">
                  <c:v>10.050000000000001</c:v>
                </c:pt>
                <c:pt idx="13">
                  <c:v>10.050000000000001</c:v>
                </c:pt>
                <c:pt idx="14">
                  <c:v>10.050000000000001</c:v>
                </c:pt>
                <c:pt idx="15">
                  <c:v>10.050000000000001</c:v>
                </c:pt>
                <c:pt idx="16">
                  <c:v>10.050000000000001</c:v>
                </c:pt>
                <c:pt idx="17">
                  <c:v>10.050000000000001</c:v>
                </c:pt>
                <c:pt idx="18">
                  <c:v>10.050000000000001</c:v>
                </c:pt>
                <c:pt idx="19">
                  <c:v>10.050000000000001</c:v>
                </c:pt>
                <c:pt idx="20">
                  <c:v>10.050000000000001</c:v>
                </c:pt>
                <c:pt idx="21">
                  <c:v>10.050000000000001</c:v>
                </c:pt>
                <c:pt idx="22">
                  <c:v>10.050000000000001</c:v>
                </c:pt>
                <c:pt idx="23">
                  <c:v>10.050000000000001</c:v>
                </c:pt>
                <c:pt idx="24">
                  <c:v>10.050000000000001</c:v>
                </c:pt>
                <c:pt idx="25">
                  <c:v>10.050000000000001</c:v>
                </c:pt>
                <c:pt idx="26">
                  <c:v>10.050000000000001</c:v>
                </c:pt>
                <c:pt idx="27">
                  <c:v>10.050000000000001</c:v>
                </c:pt>
                <c:pt idx="28">
                  <c:v>10.050000000000001</c:v>
                </c:pt>
                <c:pt idx="29">
                  <c:v>10.050000000000001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9-4882-A56E-88F45E17C5BB}"/>
            </c:ext>
          </c:extLst>
        </c:ser>
        <c:ser>
          <c:idx val="9"/>
          <c:order val="2"/>
          <c:spPr>
            <a:ln w="25400" cap="rnd" cmpd="sng" algn="ctr">
              <a:solidFill>
                <a:srgbClr val="003366"/>
              </a:solidFill>
              <a:prstDash val="solid"/>
              <a:round/>
            </a:ln>
          </c:spPr>
          <c:marker>
            <c:symbol val="none"/>
          </c:marker>
          <c:val>
            <c:numRef>
              <c:f>PpCp!$P$33:$AS$33</c:f>
              <c:numCache>
                <c:formatCode>General</c:formatCode>
                <c:ptCount val="30"/>
                <c:pt idx="0">
                  <c:v>9.9499999999999993</c:v>
                </c:pt>
                <c:pt idx="1">
                  <c:v>9.9499999999999993</c:v>
                </c:pt>
                <c:pt idx="2">
                  <c:v>9.9499999999999993</c:v>
                </c:pt>
                <c:pt idx="3">
                  <c:v>9.9499999999999993</c:v>
                </c:pt>
                <c:pt idx="4">
                  <c:v>9.9499999999999993</c:v>
                </c:pt>
                <c:pt idx="5">
                  <c:v>9.9499999999999993</c:v>
                </c:pt>
                <c:pt idx="6">
                  <c:v>9.9499999999999993</c:v>
                </c:pt>
                <c:pt idx="7">
                  <c:v>9.9499999999999993</c:v>
                </c:pt>
                <c:pt idx="8">
                  <c:v>9.9499999999999993</c:v>
                </c:pt>
                <c:pt idx="9">
                  <c:v>9.9499999999999993</c:v>
                </c:pt>
                <c:pt idx="10">
                  <c:v>9.9499999999999993</c:v>
                </c:pt>
                <c:pt idx="11">
                  <c:v>9.9499999999999993</c:v>
                </c:pt>
                <c:pt idx="12">
                  <c:v>9.9499999999999993</c:v>
                </c:pt>
                <c:pt idx="13">
                  <c:v>9.9499999999999993</c:v>
                </c:pt>
                <c:pt idx="14">
                  <c:v>9.9499999999999993</c:v>
                </c:pt>
                <c:pt idx="15">
                  <c:v>9.9499999999999993</c:v>
                </c:pt>
                <c:pt idx="16">
                  <c:v>9.9499999999999993</c:v>
                </c:pt>
                <c:pt idx="17">
                  <c:v>9.9499999999999993</c:v>
                </c:pt>
                <c:pt idx="18">
                  <c:v>9.9499999999999993</c:v>
                </c:pt>
                <c:pt idx="19">
                  <c:v>9.9499999999999993</c:v>
                </c:pt>
                <c:pt idx="20">
                  <c:v>9.9499999999999993</c:v>
                </c:pt>
                <c:pt idx="21">
                  <c:v>9.9499999999999993</c:v>
                </c:pt>
                <c:pt idx="22">
                  <c:v>9.9499999999999993</c:v>
                </c:pt>
                <c:pt idx="23">
                  <c:v>9.9499999999999993</c:v>
                </c:pt>
                <c:pt idx="24">
                  <c:v>9.9499999999999993</c:v>
                </c:pt>
                <c:pt idx="25">
                  <c:v>9.9499999999999993</c:v>
                </c:pt>
                <c:pt idx="26">
                  <c:v>9.9499999999999993</c:v>
                </c:pt>
                <c:pt idx="27">
                  <c:v>9.9499999999999993</c:v>
                </c:pt>
                <c:pt idx="28">
                  <c:v>9.9499999999999993</c:v>
                </c:pt>
                <c:pt idx="29">
                  <c:v>9.9499999999999993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49-4882-A56E-88F45E17C5BB}"/>
            </c:ext>
          </c:extLst>
        </c:ser>
        <c:ser>
          <c:idx val="2"/>
          <c:order val="3"/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PpCp!$P$34:$AS$34</c:f>
              <c:numCache>
                <c:formatCode>General</c:formatCode>
                <c:ptCount val="30"/>
                <c:pt idx="0">
                  <c:v>9.9499999999999993</c:v>
                </c:pt>
                <c:pt idx="1">
                  <c:v>9.9499999999999993</c:v>
                </c:pt>
                <c:pt idx="2">
                  <c:v>9.9499999999999993</c:v>
                </c:pt>
                <c:pt idx="3">
                  <c:v>9.9499999999999993</c:v>
                </c:pt>
                <c:pt idx="4">
                  <c:v>9.9499999999999993</c:v>
                </c:pt>
                <c:pt idx="5">
                  <c:v>9.9499999999999993</c:v>
                </c:pt>
                <c:pt idx="6">
                  <c:v>9.9499999999999993</c:v>
                </c:pt>
                <c:pt idx="7">
                  <c:v>9.9499999999999993</c:v>
                </c:pt>
                <c:pt idx="8">
                  <c:v>9.9499999999999993</c:v>
                </c:pt>
                <c:pt idx="9">
                  <c:v>9.9499999999999993</c:v>
                </c:pt>
                <c:pt idx="10">
                  <c:v>9.9499999999999993</c:v>
                </c:pt>
                <c:pt idx="11">
                  <c:v>9.9499999999999993</c:v>
                </c:pt>
                <c:pt idx="12">
                  <c:v>9.9499999999999993</c:v>
                </c:pt>
                <c:pt idx="13">
                  <c:v>9.9499999999999993</c:v>
                </c:pt>
                <c:pt idx="14">
                  <c:v>9.9499999999999993</c:v>
                </c:pt>
                <c:pt idx="15">
                  <c:v>9.9499999999999993</c:v>
                </c:pt>
                <c:pt idx="16">
                  <c:v>9.9499999999999993</c:v>
                </c:pt>
                <c:pt idx="17">
                  <c:v>9.9499999999999993</c:v>
                </c:pt>
                <c:pt idx="18">
                  <c:v>9.9499999999999993</c:v>
                </c:pt>
                <c:pt idx="19">
                  <c:v>9.9499999999999993</c:v>
                </c:pt>
                <c:pt idx="20">
                  <c:v>9.9499999999999993</c:v>
                </c:pt>
                <c:pt idx="21">
                  <c:v>9.9499999999999993</c:v>
                </c:pt>
                <c:pt idx="22">
                  <c:v>9.9499999999999993</c:v>
                </c:pt>
                <c:pt idx="23">
                  <c:v>9.9499999999999993</c:v>
                </c:pt>
                <c:pt idx="24">
                  <c:v>9.9499999999999993</c:v>
                </c:pt>
                <c:pt idx="25">
                  <c:v>9.9499999999999993</c:v>
                </c:pt>
                <c:pt idx="26">
                  <c:v>9.9499999999999993</c:v>
                </c:pt>
                <c:pt idx="27">
                  <c:v>9.9499999999999993</c:v>
                </c:pt>
                <c:pt idx="28">
                  <c:v>9.9499999999999993</c:v>
                </c:pt>
                <c:pt idx="29">
                  <c:v>9.9499999999999993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49-4882-A56E-88F45E17C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536009"/>
        <c:axId val="756867150"/>
      </c:lineChart>
      <c:catAx>
        <c:axId val="963536009"/>
        <c:scaling>
          <c:orientation val="minMax"/>
        </c:scaling>
        <c:delete val="0"/>
        <c:axPos val="b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en-US"/>
          </a:p>
        </c:txPr>
        <c:crossAx val="756867150"/>
        <c:crosses val="autoZero"/>
        <c:auto val="1"/>
        <c:lblAlgn val="ctr"/>
        <c:lblOffset val="0"/>
        <c:tickLblSkip val="3"/>
        <c:noMultiLvlLbl val="0"/>
      </c:catAx>
      <c:valAx>
        <c:axId val="756867150"/>
        <c:scaling>
          <c:orientation val="minMax"/>
          <c:max val="10.15"/>
          <c:min val="9.8500000000000014"/>
        </c:scaling>
        <c:delete val="0"/>
        <c:axPos val="l"/>
        <c:majorGridlines>
          <c:spPr>
            <a:ln w="3175" cap="flat" cmpd="sng" algn="ctr">
              <a:solidFill>
                <a:srgbClr val="CC99FF"/>
              </a:solidFill>
              <a:prstDash val="sysDash"/>
              <a:round/>
            </a:ln>
          </c:spPr>
        </c:majorGridlines>
        <c:numFmt formatCode="0.00_ " sourceLinked="0"/>
        <c:majorTickMark val="out"/>
        <c:minorTickMark val="in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t" anchorCtr="1"/>
          <a:lstStyle/>
          <a:p>
            <a:pPr>
              <a:defRPr lang="zh-CN" sz="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en-US"/>
          </a:p>
        </c:txPr>
        <c:crossAx val="963536009"/>
        <c:crosses val="autoZero"/>
        <c:crossBetween val="between"/>
        <c:majorUnit val="5.000000000000001E-2"/>
      </c:valAx>
      <c:spPr>
        <a:gradFill rotWithShape="0">
          <a:gsLst>
            <a:gs pos="0">
              <a:srgbClr xmlns:mc="http://schemas.openxmlformats.org/markup-compatibility/2006" xmlns:a14="http://schemas.microsoft.com/office/drawing/2010/main" val="FFCC99" mc:Ignorable="a14" a14:legacySpreadsheetColorIndex="47"/>
            </a:gs>
            <a:gs pos="50000">
              <a:srgbClr xmlns:mc="http://schemas.openxmlformats.org/markup-compatibility/2006" xmlns:a14="http://schemas.microsoft.com/office/drawing/2010/main" val="FFFFFF" mc:Ignorable="a14" a14:legacySpreadsheetColorIndex="9"/>
            </a:gs>
            <a:gs pos="100000">
              <a:srgbClr xmlns:mc="http://schemas.openxmlformats.org/markup-compatibility/2006" xmlns:a14="http://schemas.microsoft.com/office/drawing/2010/main" val="FFCC99" mc:Ignorable="a14" a14:legacySpreadsheetColorIndex="47"/>
            </a:gs>
          </a:gsLst>
          <a:lin ang="5400000" scaled="1"/>
        </a:gra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 rot="0" wrap="square" anchor="b" anchorCtr="1"/>
    <a:lstStyle/>
    <a:p>
      <a:pPr>
        <a:defRPr lang="zh-CN" sz="12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088883666423428E-2"/>
          <c:y val="0.25075438903470398"/>
          <c:w val="0.82933766565589895"/>
          <c:h val="0.6762817536696801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000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D541-40D3-8676-DBB73689D76B}"/>
              </c:ext>
            </c:extLst>
          </c:dPt>
          <c:dPt>
            <c:idx val="42"/>
            <c:invertIfNegative val="0"/>
            <c:bubble3D val="0"/>
            <c:spPr>
              <a:solidFill>
                <a:srgbClr val="FF0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D541-40D3-8676-DBB73689D76B}"/>
              </c:ext>
            </c:extLst>
          </c:dPt>
          <c:dPt>
            <c:idx val="44"/>
            <c:invertIfNegative val="0"/>
            <c:bubble3D val="0"/>
            <c:spPr>
              <a:solidFill>
                <a:srgbClr val="99CC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D541-40D3-8676-DBB73689D76B}"/>
              </c:ext>
            </c:extLst>
          </c:dPt>
          <c:dPt>
            <c:idx val="46"/>
            <c:invertIfNegative val="0"/>
            <c:bubble3D val="0"/>
            <c:spPr>
              <a:solidFill>
                <a:srgbClr val="FF00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D541-40D3-8676-DBB73689D76B}"/>
              </c:ext>
            </c:extLst>
          </c:dPt>
          <c:dPt>
            <c:idx val="84"/>
            <c:invertIfNegative val="0"/>
            <c:bubble3D val="0"/>
            <c:spPr>
              <a:solidFill>
                <a:srgbClr val="3366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D541-40D3-8676-DBB73689D76B}"/>
              </c:ext>
            </c:extLst>
          </c:dPt>
          <c:cat>
            <c:strLit>
              <c:ptCount val="89"/>
              <c:pt idx="4">
                <c:v>TL</c:v>
              </c:pt>
              <c:pt idx="44">
                <c:v>M</c:v>
              </c:pt>
              <c:pt idx="84">
                <c:v>TU</c:v>
              </c:pt>
            </c:strLit>
          </c:cat>
          <c:val>
            <c:numLit>
              <c:formatCode>General</c:formatCode>
              <c:ptCount val="89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20.104099999999899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22.104099999999899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20.104099999999899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A-D541-40D3-8676-DBB73689D76B}"/>
            </c:ext>
          </c:extLst>
        </c:ser>
        <c:ser>
          <c:idx val="0"/>
          <c:order val="1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89"/>
              <c:pt idx="4">
                <c:v>TL</c:v>
              </c:pt>
              <c:pt idx="44">
                <c:v>M</c:v>
              </c:pt>
              <c:pt idx="84">
                <c:v>TU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B-D541-40D3-8676-DBB73689D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381451652"/>
        <c:axId val="598492197"/>
      </c:barChart>
      <c:lineChart>
        <c:grouping val="standard"/>
        <c:varyColors val="0"/>
        <c:ser>
          <c:idx val="2"/>
          <c:order val="2"/>
          <c:spPr>
            <a:ln w="25400" cap="rnd" cmpd="sng" algn="ctr">
              <a:solidFill>
                <a:srgbClr val="99CC00"/>
              </a:solidFill>
              <a:prstDash val="lgDash"/>
              <a:round/>
            </a:ln>
          </c:spPr>
          <c:marker>
            <c:symbol val="none"/>
          </c:marker>
          <c:cat>
            <c:strRef>
              <c:f>PpCp!$AG$7:$DQ$7</c:f>
              <c:strCache>
                <c:ptCount val="85"/>
                <c:pt idx="4">
                  <c:v>9.85 </c:v>
                </c:pt>
                <c:pt idx="44">
                  <c:v>9.95 </c:v>
                </c:pt>
                <c:pt idx="52">
                  <c:v>9.97 </c:v>
                </c:pt>
                <c:pt idx="84">
                  <c:v>10.05 </c:v>
                </c:pt>
              </c:strCache>
            </c:strRef>
          </c:cat>
          <c:val>
            <c:numRef>
              <c:f>PpCp!$AG$11:$DQ$11</c:f>
              <c:numCache>
                <c:formatCode>0.00000_ </c:formatCode>
                <c:ptCount val="89"/>
                <c:pt idx="0">
                  <c:v>2.8363600986414369E-26</c:v>
                </c:pt>
                <c:pt idx="1">
                  <c:v>4.710499637406298E-25</c:v>
                </c:pt>
                <c:pt idx="2">
                  <c:v>7.3336398754488675E-24</c:v>
                </c:pt>
                <c:pt idx="3">
                  <c:v>1.0703336573881022E-22</c:v>
                </c:pt>
                <c:pt idx="4">
                  <c:v>1.4644204414216322E-21</c:v>
                </c:pt>
                <c:pt idx="5">
                  <c:v>1.8782758737712552E-20</c:v>
                </c:pt>
                <c:pt idx="6">
                  <c:v>2.2583953724208718E-19</c:v>
                </c:pt>
                <c:pt idx="7">
                  <c:v>2.545584793287907E-18</c:v>
                </c:pt>
                <c:pt idx="8">
                  <c:v>2.6898134331723689E-17</c:v>
                </c:pt>
                <c:pt idx="9">
                  <c:v>2.6644265090452168E-16</c:v>
                </c:pt>
                <c:pt idx="10">
                  <c:v>2.4741859204854327E-15</c:v>
                </c:pt>
                <c:pt idx="11">
                  <c:v>2.1538126034729221E-14</c:v>
                </c:pt>
                <c:pt idx="12">
                  <c:v>1.7576422935933684E-13</c:v>
                </c:pt>
                <c:pt idx="13">
                  <c:v>1.3446215650507068E-12</c:v>
                </c:pt>
                <c:pt idx="14">
                  <c:v>9.6430994919120324E-12</c:v>
                </c:pt>
                <c:pt idx="15">
                  <c:v>6.4830626800394356E-11</c:v>
                </c:pt>
                <c:pt idx="16">
                  <c:v>4.085928766644561E-10</c:v>
                </c:pt>
                <c:pt idx="17">
                  <c:v>2.4140616614757479E-9</c:v>
                </c:pt>
                <c:pt idx="18">
                  <c:v>1.3370662434477885E-8</c:v>
                </c:pt>
                <c:pt idx="19">
                  <c:v>6.9423177500658126E-8</c:v>
                </c:pt>
                <c:pt idx="20">
                  <c:v>3.3791155900254902E-7</c:v>
                </c:pt>
                <c:pt idx="21">
                  <c:v>1.5418730092562156E-6</c:v>
                </c:pt>
                <c:pt idx="22">
                  <c:v>6.5954003311751427E-6</c:v>
                </c:pt>
                <c:pt idx="23">
                  <c:v>2.6447261834440237E-5</c:v>
                </c:pt>
                <c:pt idx="24">
                  <c:v>9.9418513553976569E-5</c:v>
                </c:pt>
                <c:pt idx="25">
                  <c:v>3.5034894475278897E-4</c:v>
                </c:pt>
                <c:pt idx="26">
                  <c:v>1.1573943540336689E-3</c:v>
                </c:pt>
                <c:pt idx="27">
                  <c:v>3.5843375560491077E-3</c:v>
                </c:pt>
                <c:pt idx="28">
                  <c:v>1.0405990941718598E-2</c:v>
                </c:pt>
                <c:pt idx="29">
                  <c:v>2.8320765097470935E-2</c:v>
                </c:pt>
                <c:pt idx="30">
                  <c:v>7.2255933742378292E-2</c:v>
                </c:pt>
                <c:pt idx="31">
                  <c:v>0.17281803033871099</c:v>
                </c:pt>
                <c:pt idx="32">
                  <c:v>0.38748204393265179</c:v>
                </c:pt>
                <c:pt idx="33">
                  <c:v>0.81444377900204346</c:v>
                </c:pt>
                <c:pt idx="34">
                  <c:v>1.6047878821879615</c:v>
                </c:pt>
                <c:pt idx="35">
                  <c:v>2.9642932139287006</c:v>
                </c:pt>
                <c:pt idx="36">
                  <c:v>5.1330049232469497</c:v>
                </c:pt>
                <c:pt idx="37">
                  <c:v>8.332382523447027</c:v>
                </c:pt>
                <c:pt idx="38">
                  <c:v>12.679838305415201</c:v>
                </c:pt>
                <c:pt idx="39">
                  <c:v>18.088611406310079</c:v>
                </c:pt>
                <c:pt idx="40">
                  <c:v>24.190438457899518</c:v>
                </c:pt>
                <c:pt idx="41">
                  <c:v>30.32698586068496</c:v>
                </c:pt>
                <c:pt idx="42">
                  <c:v>35.641974484748964</c:v>
                </c:pt>
                <c:pt idx="43">
                  <c:v>39.26822390687272</c:v>
                </c:pt>
                <c:pt idx="44">
                  <c:v>40.557180902268513</c:v>
                </c:pt>
                <c:pt idx="45">
                  <c:v>39.26822390687272</c:v>
                </c:pt>
                <c:pt idx="46">
                  <c:v>35.641974484748964</c:v>
                </c:pt>
                <c:pt idx="47">
                  <c:v>30.32698586068496</c:v>
                </c:pt>
                <c:pt idx="48">
                  <c:v>24.190438457899518</c:v>
                </c:pt>
                <c:pt idx="49">
                  <c:v>18.088611406310079</c:v>
                </c:pt>
                <c:pt idx="50">
                  <c:v>12.679838305415201</c:v>
                </c:pt>
                <c:pt idx="51">
                  <c:v>8.332382523447027</c:v>
                </c:pt>
                <c:pt idx="52">
                  <c:v>5.1330049232469497</c:v>
                </c:pt>
                <c:pt idx="53">
                  <c:v>2.9642932139287006</c:v>
                </c:pt>
                <c:pt idx="54">
                  <c:v>1.6047878821879615</c:v>
                </c:pt>
                <c:pt idx="55">
                  <c:v>0.81444377900204346</c:v>
                </c:pt>
                <c:pt idx="56">
                  <c:v>0.38748204393265179</c:v>
                </c:pt>
                <c:pt idx="57">
                  <c:v>0.17281803033871099</c:v>
                </c:pt>
                <c:pt idx="58">
                  <c:v>7.2255933742378292E-2</c:v>
                </c:pt>
                <c:pt idx="59">
                  <c:v>2.8320765097470935E-2</c:v>
                </c:pt>
                <c:pt idx="60">
                  <c:v>1.0405990941718598E-2</c:v>
                </c:pt>
                <c:pt idx="61">
                  <c:v>3.5843375560491077E-3</c:v>
                </c:pt>
                <c:pt idx="62">
                  <c:v>1.1573943540336689E-3</c:v>
                </c:pt>
                <c:pt idx="63">
                  <c:v>3.5034894475278897E-4</c:v>
                </c:pt>
                <c:pt idx="64">
                  <c:v>9.9418513553976569E-5</c:v>
                </c:pt>
                <c:pt idx="65">
                  <c:v>2.6447261834440237E-5</c:v>
                </c:pt>
                <c:pt idx="66">
                  <c:v>6.5954003311751427E-6</c:v>
                </c:pt>
                <c:pt idx="67">
                  <c:v>1.5418730092562156E-6</c:v>
                </c:pt>
                <c:pt idx="68">
                  <c:v>3.3791155900254902E-7</c:v>
                </c:pt>
                <c:pt idx="69">
                  <c:v>6.9423177500658126E-8</c:v>
                </c:pt>
                <c:pt idx="70">
                  <c:v>1.3370662434477885E-8</c:v>
                </c:pt>
                <c:pt idx="71">
                  <c:v>2.4140616614757479E-9</c:v>
                </c:pt>
                <c:pt idx="72">
                  <c:v>4.085928766644561E-10</c:v>
                </c:pt>
                <c:pt idx="73">
                  <c:v>6.4830626800394356E-11</c:v>
                </c:pt>
                <c:pt idx="74">
                  <c:v>9.6430994919120324E-12</c:v>
                </c:pt>
                <c:pt idx="75">
                  <c:v>1.3446215650507068E-12</c:v>
                </c:pt>
                <c:pt idx="76">
                  <c:v>1.7576422935933684E-13</c:v>
                </c:pt>
                <c:pt idx="77">
                  <c:v>2.1538126034729221E-14</c:v>
                </c:pt>
                <c:pt idx="78">
                  <c:v>2.4741859204854327E-15</c:v>
                </c:pt>
                <c:pt idx="79">
                  <c:v>2.6644265090452168E-16</c:v>
                </c:pt>
                <c:pt idx="80">
                  <c:v>2.6898134331723689E-17</c:v>
                </c:pt>
                <c:pt idx="81">
                  <c:v>2.545584793287907E-18</c:v>
                </c:pt>
                <c:pt idx="82">
                  <c:v>2.2583953724208718E-19</c:v>
                </c:pt>
                <c:pt idx="83">
                  <c:v>1.8782758737712552E-20</c:v>
                </c:pt>
                <c:pt idx="84">
                  <c:v>1.4644204414216322E-21</c:v>
                </c:pt>
                <c:pt idx="85">
                  <c:v>1.0703336573881022E-22</c:v>
                </c:pt>
                <c:pt idx="86">
                  <c:v>7.3336398754488675E-24</c:v>
                </c:pt>
                <c:pt idx="87">
                  <c:v>4.710499637406298E-25</c:v>
                </c:pt>
                <c:pt idx="88">
                  <c:v>2.8363600986414369E-26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41-40D3-8676-DBB73689D76B}"/>
            </c:ext>
          </c:extLst>
        </c:ser>
        <c:ser>
          <c:idx val="3"/>
          <c:order val="3"/>
          <c:spPr>
            <a:ln w="25400" cap="rnd" cmpd="sng" algn="ctr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PpCp!$AG$7:$DQ$7</c:f>
              <c:strCache>
                <c:ptCount val="85"/>
                <c:pt idx="4">
                  <c:v>9.85 </c:v>
                </c:pt>
                <c:pt idx="44">
                  <c:v>9.95 </c:v>
                </c:pt>
                <c:pt idx="52">
                  <c:v>9.97 </c:v>
                </c:pt>
                <c:pt idx="84">
                  <c:v>10.05 </c:v>
                </c:pt>
              </c:strCache>
            </c:strRef>
          </c:cat>
          <c:val>
            <c:numRef>
              <c:f>PpCp!$AG$15:$DQ$15</c:f>
              <c:numCache>
                <c:formatCode>0.00000_ </c:formatCode>
                <c:ptCount val="89"/>
                <c:pt idx="0">
                  <c:v>1.0860259204481939E-37</c:v>
                </c:pt>
                <c:pt idx="1">
                  <c:v>3.1110940422644448E-36</c:v>
                </c:pt>
                <c:pt idx="2">
                  <c:v>8.3547428071667178E-35</c:v>
                </c:pt>
                <c:pt idx="3">
                  <c:v>2.1032942208426786E-33</c:v>
                </c:pt>
                <c:pt idx="4">
                  <c:v>4.9637965116466718E-32</c:v>
                </c:pt>
                <c:pt idx="5">
                  <c:v>1.0981834842626721E-30</c:v>
                </c:pt>
                <c:pt idx="6">
                  <c:v>2.2776282667709343E-29</c:v>
                </c:pt>
                <c:pt idx="7">
                  <c:v>4.4283075723117877E-28</c:v>
                </c:pt>
                <c:pt idx="8">
                  <c:v>8.0712297289130215E-27</c:v>
                </c:pt>
                <c:pt idx="9">
                  <c:v>1.3790773869017335E-25</c:v>
                </c:pt>
                <c:pt idx="10">
                  <c:v>2.2089432748207254E-24</c:v>
                </c:pt>
                <c:pt idx="11">
                  <c:v>3.3168626436664068E-23</c:v>
                </c:pt>
                <c:pt idx="12">
                  <c:v>4.6689304899291664E-22</c:v>
                </c:pt>
                <c:pt idx="13">
                  <c:v>6.1610442360023546E-21</c:v>
                </c:pt>
                <c:pt idx="14">
                  <c:v>7.6214612042784228E-20</c:v>
                </c:pt>
                <c:pt idx="15">
                  <c:v>8.8383085115894732E-19</c:v>
                </c:pt>
                <c:pt idx="16">
                  <c:v>9.6083113667720748E-18</c:v>
                </c:pt>
                <c:pt idx="17">
                  <c:v>9.7920129058251489E-17</c:v>
                </c:pt>
                <c:pt idx="18">
                  <c:v>9.355001975916807E-16</c:v>
                </c:pt>
                <c:pt idx="19">
                  <c:v>8.3784327372847055E-15</c:v>
                </c:pt>
                <c:pt idx="20">
                  <c:v>7.0344263811188713E-14</c:v>
                </c:pt>
                <c:pt idx="21">
                  <c:v>5.5365801053184667E-13</c:v>
                </c:pt>
                <c:pt idx="22">
                  <c:v>4.0850886384261066E-12</c:v>
                </c:pt>
                <c:pt idx="23">
                  <c:v>2.8255850125260028E-11</c:v>
                </c:pt>
                <c:pt idx="24">
                  <c:v>1.832155243534887E-10</c:v>
                </c:pt>
                <c:pt idx="25">
                  <c:v>1.1136870223559248E-9</c:v>
                </c:pt>
                <c:pt idx="26">
                  <c:v>6.3461604110550961E-9</c:v>
                </c:pt>
                <c:pt idx="27">
                  <c:v>3.3900486413656238E-8</c:v>
                </c:pt>
                <c:pt idx="28">
                  <c:v>1.697648645457123E-7</c:v>
                </c:pt>
                <c:pt idx="29">
                  <c:v>7.9696030473367352E-7</c:v>
                </c:pt>
                <c:pt idx="30">
                  <c:v>3.507297188970991E-6</c:v>
                </c:pt>
                <c:pt idx="31">
                  <c:v>1.446956387751985E-5</c:v>
                </c:pt>
                <c:pt idx="32">
                  <c:v>5.5960980232801903E-5</c:v>
                </c:pt>
                <c:pt idx="33">
                  <c:v>2.0289071958066586E-4</c:v>
                </c:pt>
                <c:pt idx="34">
                  <c:v>6.8958221050584767E-4</c:v>
                </c:pt>
                <c:pt idx="35">
                  <c:v>2.1971358661979287E-3</c:v>
                </c:pt>
                <c:pt idx="36">
                  <c:v>6.5625824907405384E-3</c:v>
                </c:pt>
                <c:pt idx="37">
                  <c:v>1.8375519875151569E-2</c:v>
                </c:pt>
                <c:pt idx="38">
                  <c:v>4.8233801503621582E-2</c:v>
                </c:pt>
                <c:pt idx="39">
                  <c:v>0.11868896597429286</c:v>
                </c:pt>
                <c:pt idx="40">
                  <c:v>0.27378912779334597</c:v>
                </c:pt>
                <c:pt idx="41">
                  <c:v>0.59206453551775462</c:v>
                </c:pt>
                <c:pt idx="42">
                  <c:v>1.2002422068876133</c:v>
                </c:pt>
                <c:pt idx="43">
                  <c:v>2.280949863564091</c:v>
                </c:pt>
                <c:pt idx="44">
                  <c:v>4.0635871794885485</c:v>
                </c:pt>
                <c:pt idx="45">
                  <c:v>6.7865713769499285</c:v>
                </c:pt>
                <c:pt idx="46">
                  <c:v>10.625228004326502</c:v>
                </c:pt>
                <c:pt idx="47">
                  <c:v>15.594558824709065</c:v>
                </c:pt>
                <c:pt idx="48">
                  <c:v>21.456304561382197</c:v>
                </c:pt>
                <c:pt idx="49">
                  <c:v>27.674753091466091</c:v>
                </c:pt>
                <c:pt idx="50">
                  <c:v>33.462592302722207</c:v>
                </c:pt>
                <c:pt idx="51">
                  <c:v>37.929961942100022</c:v>
                </c:pt>
                <c:pt idx="52">
                  <c:v>40.304378557317875</c:v>
                </c:pt>
                <c:pt idx="53">
                  <c:v>40.148474578109088</c:v>
                </c:pt>
                <c:pt idx="54">
                  <c:v>37.491504317429175</c:v>
                </c:pt>
                <c:pt idx="55">
                  <c:v>32.820385768018419</c:v>
                </c:pt>
                <c:pt idx="56">
                  <c:v>26.934039571027046</c:v>
                </c:pt>
                <c:pt idx="57">
                  <c:v>20.720789738809973</c:v>
                </c:pt>
                <c:pt idx="58">
                  <c:v>14.943699000104672</c:v>
                </c:pt>
                <c:pt idx="59">
                  <c:v>10.103152684072608</c:v>
                </c:pt>
                <c:pt idx="60">
                  <c:v>6.4032833318812399</c:v>
                </c:pt>
                <c:pt idx="61">
                  <c:v>3.8044818709418626</c:v>
                </c:pt>
                <c:pt idx="62">
                  <c:v>2.1190212725550621</c:v>
                </c:pt>
                <c:pt idx="63">
                  <c:v>1.1064253349193218</c:v>
                </c:pt>
                <c:pt idx="64">
                  <c:v>0.54157162801472902</c:v>
                </c:pt>
                <c:pt idx="65">
                  <c:v>0.24850589449237878</c:v>
                </c:pt>
                <c:pt idx="66">
                  <c:v>0.10689674526819615</c:v>
                </c:pt>
                <c:pt idx="67">
                  <c:v>4.3106153143309275E-2</c:v>
                </c:pt>
                <c:pt idx="68">
                  <c:v>1.6295250845174393E-2</c:v>
                </c:pt>
                <c:pt idx="69">
                  <c:v>5.7747053632989419E-3</c:v>
                </c:pt>
                <c:pt idx="70">
                  <c:v>1.9184284592212533E-3</c:v>
                </c:pt>
                <c:pt idx="71">
                  <c:v>5.9745937987536722E-4</c:v>
                </c:pt>
                <c:pt idx="72">
                  <c:v>1.7442878539108888E-4</c:v>
                </c:pt>
                <c:pt idx="73">
                  <c:v>4.7739176929704088E-5</c:v>
                </c:pt>
                <c:pt idx="74">
                  <c:v>1.2248381222379958E-5</c:v>
                </c:pt>
                <c:pt idx="75">
                  <c:v>2.9459777367819757E-6</c:v>
                </c:pt>
                <c:pt idx="76">
                  <c:v>6.6424336265561874E-7</c:v>
                </c:pt>
                <c:pt idx="77">
                  <c:v>1.404015764079165E-7</c:v>
                </c:pt>
                <c:pt idx="78">
                  <c:v>2.7820423836989072E-8</c:v>
                </c:pt>
                <c:pt idx="79">
                  <c:v>5.167761923037912E-9</c:v>
                </c:pt>
                <c:pt idx="80">
                  <c:v>8.9988756533560815E-10</c:v>
                </c:pt>
                <c:pt idx="81">
                  <c:v>1.4689973130073752E-10</c:v>
                </c:pt>
                <c:pt idx="82">
                  <c:v>2.248022996369111E-11</c:v>
                </c:pt>
                <c:pt idx="83">
                  <c:v>3.2249834872272512E-12</c:v>
                </c:pt>
                <c:pt idx="84">
                  <c:v>4.3371180033611569E-13</c:v>
                </c:pt>
                <c:pt idx="85">
                  <c:v>5.4679178266861096E-14</c:v>
                </c:pt>
                <c:pt idx="86">
                  <c:v>6.4623387191707181E-15</c:v>
                </c:pt>
                <c:pt idx="87">
                  <c:v>7.1598587290826153E-16</c:v>
                </c:pt>
                <c:pt idx="88">
                  <c:v>7.4364589799427593E-17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541-40D3-8676-DBB73689D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6433403"/>
        <c:axId val="724079357"/>
      </c:lineChart>
      <c:catAx>
        <c:axId val="381451652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3366FF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en-US"/>
          </a:p>
        </c:txPr>
        <c:crossAx val="598492197"/>
        <c:crosses val="autoZero"/>
        <c:auto val="0"/>
        <c:lblAlgn val="ctr"/>
        <c:lblOffset val="0"/>
        <c:tickLblSkip val="3"/>
        <c:noMultiLvlLbl val="0"/>
      </c:catAx>
      <c:valAx>
        <c:axId val="598492197"/>
        <c:scaling>
          <c:orientation val="minMax"/>
          <c:max val="50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  <a:endParaRPr lang="en-US"/>
          </a:p>
        </c:txPr>
        <c:crossAx val="381451652"/>
        <c:crosses val="autoZero"/>
        <c:crossBetween val="between"/>
        <c:majorUnit val="5"/>
        <c:minorUnit val="0.04"/>
      </c:valAx>
      <c:catAx>
        <c:axId val="686433403"/>
        <c:scaling>
          <c:orientation val="minMax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FF000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r>
                  <a:rPr lang="en-US" altLang="zh-CN"/>
                  <a:t>Variable</a:t>
                </a:r>
                <a:endParaRPr lang="zh-CN" altLang="en-US" sz="900" b="0" i="0" u="none" strike="noStrike" baseline="0">
                  <a:solidFill>
                    <a:srgbClr val="FF0000">
                      <a:alpha val="100000"/>
                    </a:srgbClr>
                  </a:solidFill>
                  <a:latin typeface="Arial" panose="020B0604020202020204" pitchFamily="7" charset="0"/>
                  <a:ea typeface="Arial" panose="020B0604020202020204" pitchFamily="7" charset="0"/>
                  <a:cs typeface="Arial" panose="020B0604020202020204" pitchFamily="7" charset="0"/>
                </a:endParaRPr>
              </a:p>
            </c:rich>
          </c:tx>
          <c:layout>
            <c:manualLayout>
              <c:xMode val="edge"/>
              <c:yMode val="edge"/>
              <c:x val="0.89562823687941695"/>
              <c:y val="0.930168770803091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en-US"/>
          </a:p>
        </c:txPr>
        <c:crossAx val="724079357"/>
        <c:crosses val="max"/>
        <c:auto val="0"/>
        <c:lblAlgn val="ctr"/>
        <c:lblOffset val="0"/>
        <c:tickLblSkip val="2"/>
        <c:noMultiLvlLbl val="0"/>
      </c:catAx>
      <c:valAx>
        <c:axId val="724079357"/>
        <c:scaling>
          <c:orientation val="minMax"/>
        </c:scaling>
        <c:delete val="1"/>
        <c:axPos val="l"/>
        <c:numFmt formatCode="0.00000_ " sourceLinked="1"/>
        <c:majorTickMark val="out"/>
        <c:minorTickMark val="none"/>
        <c:tickLblPos val="nextTo"/>
        <c:crossAx val="686433403"/>
        <c:crosses val="autoZero"/>
        <c:crossBetween val="between"/>
      </c:valAx>
      <c:spPr>
        <a:gradFill rotWithShape="0">
          <a:gsLst>
            <a:gs pos="0">
              <a:srgbClr xmlns:mc="http://schemas.openxmlformats.org/markup-compatibility/2006" xmlns:a14="http://schemas.microsoft.com/office/drawing/2010/main" val="FFFFFF" mc:Ignorable="a14" a14:legacySpreadsheetColorIndex="9"/>
            </a:gs>
            <a:gs pos="100000">
              <a:srgbClr val="92D050"/>
            </a:gs>
          </a:gsLst>
          <a:lin ang="2700000" scaled="1"/>
        </a:gra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 rot="0" wrap="square" anchor="ctr" anchorCtr="1"/>
    <a:lstStyle/>
    <a:p>
      <a:pPr>
        <a:defRPr lang="zh-CN" sz="900" b="0" i="0" u="none" strike="noStrike" baseline="0">
          <a:solidFill>
            <a:srgbClr val="000000">
              <a:alpha val="100000"/>
            </a:srgbClr>
          </a:solidFill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Radio" firstButton="1" fmlaLink="$B$10" noThreeD="1"/>
</file>

<file path=xl/ctrlProps/ctrlProp2.xml><?xml version="1.0" encoding="utf-8"?>
<formControlPr xmlns="http://schemas.microsoft.com/office/spreadsheetml/2009/9/main" objectType="Radio" checked="Checked" noThreeD="1"/>
</file>

<file path=xl/ctrlProps/ctrlProp3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84771</xdr:colOff>
      <xdr:row>62</xdr:row>
      <xdr:rowOff>161924</xdr:rowOff>
    </xdr:from>
    <xdr:to>
      <xdr:col>11</xdr:col>
      <xdr:colOff>508634</xdr:colOff>
      <xdr:row>83</xdr:row>
      <xdr:rowOff>47624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69886</xdr:colOff>
          <xdr:row>7</xdr:row>
          <xdr:rowOff>69867</xdr:rowOff>
        </xdr:from>
        <xdr:to>
          <xdr:col>1</xdr:col>
          <xdr:colOff>838471</xdr:colOff>
          <xdr:row>9</xdr:row>
          <xdr:rowOff>79888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2700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NZ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Bilateral Tolerance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61795</xdr:colOff>
          <xdr:row>10</xdr:row>
          <xdr:rowOff>3991</xdr:rowOff>
        </xdr:from>
        <xdr:to>
          <xdr:col>1</xdr:col>
          <xdr:colOff>830380</xdr:colOff>
          <xdr:row>11</xdr:row>
          <xdr:rowOff>201924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2700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NZ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Upper Tolerance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61795</xdr:colOff>
          <xdr:row>12</xdr:row>
          <xdr:rowOff>130376</xdr:rowOff>
        </xdr:from>
        <xdr:to>
          <xdr:col>1</xdr:col>
          <xdr:colOff>830380</xdr:colOff>
          <xdr:row>14</xdr:row>
          <xdr:rowOff>168972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2700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NZ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Lower Tolerance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71755</xdr:colOff>
      <xdr:row>30</xdr:row>
      <xdr:rowOff>52387</xdr:rowOff>
    </xdr:from>
    <xdr:to>
      <xdr:col>12</xdr:col>
      <xdr:colOff>3175</xdr:colOff>
      <xdr:row>62</xdr:row>
      <xdr:rowOff>52387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686434</xdr:colOff>
      <xdr:row>39</xdr:row>
      <xdr:rowOff>23812</xdr:rowOff>
    </xdr:from>
    <xdr:to>
      <xdr:col>3</xdr:col>
      <xdr:colOff>1957388</xdr:colOff>
      <xdr:row>41</xdr:row>
      <xdr:rowOff>47625</xdr:rowOff>
    </xdr:to>
    <xdr:sp macro="" textlink="">
      <xdr:nvSpPr>
        <xdr:cNvPr id="11" name="Text Box 2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>
        <a:xfrm>
          <a:off x="919797" y="8763000"/>
          <a:ext cx="2456816" cy="423863"/>
        </a:xfrm>
        <a:prstGeom prst="rect">
          <a:avLst/>
        </a:prstGeom>
        <a:solidFill>
          <a:srgbClr val="00B050"/>
        </a:solidFill>
        <a:ln>
          <a:noFill/>
        </a:ln>
      </xdr:spPr>
      <xdr:txBody>
        <a:bodyPr vertOverflow="clip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200" b="1" i="0" u="none" strike="noStrike" baseline="0">
              <a:solidFill>
                <a:schemeClr val="bg1"/>
              </a:solidFill>
              <a:latin typeface="+mn-lt"/>
              <a:ea typeface="宋体" panose="02010600030101010101" pitchFamily="7" charset="-122"/>
            </a:rPr>
            <a:t>—</a:t>
          </a:r>
          <a:r>
            <a:rPr lang="zh-CN" altLang="en-US" sz="1200" b="1" i="0" u="none" strike="noStrike" baseline="0">
              <a:solidFill>
                <a:schemeClr val="bg1"/>
              </a:solidFill>
              <a:latin typeface="+mn-lt"/>
              <a:ea typeface="宋体" panose="02010600030101010101" pitchFamily="7" charset="-122"/>
            </a:rPr>
            <a:t> </a:t>
          </a:r>
          <a:r>
            <a:rPr lang="en-NZ" altLang="zh-CN" sz="1200" b="1" i="0" u="none" strike="noStrike" baseline="0">
              <a:solidFill>
                <a:schemeClr val="bg1"/>
              </a:solidFill>
              <a:latin typeface="+mn-lt"/>
              <a:ea typeface="宋体" panose="02010600030101010101" pitchFamily="7" charset="-122"/>
            </a:rPr>
            <a:t>Sample Normal Distribution Plot</a:t>
          </a:r>
          <a:endParaRPr lang="zh-CN" altLang="en-US" sz="1200" b="1" i="0" u="none" strike="noStrike" baseline="0">
            <a:solidFill>
              <a:schemeClr val="bg1"/>
            </a:solidFill>
            <a:latin typeface="+mn-lt"/>
            <a:ea typeface="宋体" panose="02010600030101010101" pitchFamily="7" charset="-122"/>
          </a:endParaRPr>
        </a:p>
        <a:p>
          <a:pPr algn="l" rtl="0">
            <a:lnSpc>
              <a:spcPts val="900"/>
            </a:lnSpc>
            <a:defRPr sz="1000"/>
          </a:pPr>
          <a:r>
            <a:rPr lang="zh-CN" altLang="en-US" sz="1200" b="1" i="0" u="none" strike="noStrike" baseline="0">
              <a:solidFill>
                <a:schemeClr val="bg1"/>
              </a:solidFill>
              <a:latin typeface="+mn-lt"/>
              <a:ea typeface="宋体" panose="02010600030101010101" pitchFamily="7" charset="-122"/>
            </a:rPr>
            <a:t>--</a:t>
          </a:r>
          <a:r>
            <a:rPr lang="en-NZ" altLang="zh-CN" sz="1200" b="1" i="0" u="none" strike="noStrike" baseline="0">
              <a:solidFill>
                <a:schemeClr val="bg1"/>
              </a:solidFill>
              <a:latin typeface="+mn-lt"/>
              <a:ea typeface="宋体" panose="02010600030101010101" pitchFamily="7" charset="-122"/>
            </a:rPr>
            <a:t>-</a:t>
          </a:r>
          <a:r>
            <a:rPr lang="zh-CN" altLang="en-US" sz="1200" b="1" i="0" u="none" strike="noStrike" baseline="0">
              <a:solidFill>
                <a:schemeClr val="bg1"/>
              </a:solidFill>
              <a:latin typeface="+mn-lt"/>
              <a:ea typeface="宋体" panose="02010600030101010101" pitchFamily="7" charset="-122"/>
            </a:rPr>
            <a:t> </a:t>
          </a:r>
          <a:r>
            <a:rPr lang="en-NZ" altLang="zh-CN" sz="1200" b="1" i="0" u="none" strike="noStrike" baseline="0">
              <a:solidFill>
                <a:schemeClr val="bg1"/>
              </a:solidFill>
              <a:latin typeface="+mn-lt"/>
              <a:ea typeface="宋体" panose="02010600030101010101" pitchFamily="7" charset="-122"/>
            </a:rPr>
            <a:t>Centred Normal Distribution Plot</a:t>
          </a:r>
          <a:endParaRPr lang="zh-CN" altLang="en-US" sz="1200" b="1" i="0" u="none" strike="noStrike" baseline="0">
            <a:solidFill>
              <a:schemeClr val="bg1"/>
            </a:solidFill>
            <a:latin typeface="+mn-lt"/>
            <a:ea typeface="宋体" panose="02010600030101010101" pitchFamily="7" charset="-122"/>
          </a:endParaRPr>
        </a:p>
      </xdr:txBody>
    </xdr:sp>
    <xdr:clientData/>
  </xdr:twoCellAnchor>
  <xdr:twoCellAnchor>
    <xdr:from>
      <xdr:col>13</xdr:col>
      <xdr:colOff>95249</xdr:colOff>
      <xdr:row>0</xdr:row>
      <xdr:rowOff>57149</xdr:rowOff>
    </xdr:from>
    <xdr:to>
      <xdr:col>21</xdr:col>
      <xdr:colOff>442912</xdr:colOff>
      <xdr:row>16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0FDB000-7DF4-6A89-8513-D1A299C5D0C0}"/>
            </a:ext>
          </a:extLst>
        </xdr:cNvPr>
        <xdr:cNvSpPr/>
      </xdr:nvSpPr>
      <xdr:spPr>
        <a:xfrm>
          <a:off x="7262812" y="57149"/>
          <a:ext cx="4500563" cy="41433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NZ" b="1"/>
            <a:t>Sampling method for Cp</a:t>
          </a:r>
          <a:endParaRPr lang="en-NZ"/>
        </a:p>
        <a:p>
          <a:r>
            <a:rPr lang="en-NZ" b="1"/>
            <a:t>Sample size</a:t>
          </a:r>
          <a:r>
            <a:rPr lang="en-NZ"/>
            <a:t>: typically </a:t>
          </a:r>
          <a:r>
            <a:rPr lang="en-NZ" b="1"/>
            <a:t>20–25 subgroups</a:t>
          </a:r>
          <a:r>
            <a:rPr lang="en-NZ"/>
            <a:t>, with </a:t>
          </a:r>
          <a:r>
            <a:rPr lang="en-NZ" b="1"/>
            <a:t>3–5 samples per subgroup</a:t>
          </a:r>
          <a:endParaRPr lang="en-NZ"/>
        </a:p>
        <a:p>
          <a:r>
            <a:rPr lang="en-NZ" b="1"/>
            <a:t>Sampling method</a:t>
          </a:r>
          <a:r>
            <a:rPr lang="en-NZ"/>
            <a:t>: collect samples </a:t>
          </a:r>
          <a:r>
            <a:rPr lang="en-NZ" b="1"/>
            <a:t>within short time intervals</a:t>
          </a:r>
          <a:r>
            <a:rPr lang="en-NZ"/>
            <a:t> under </a:t>
          </a:r>
          <a:r>
            <a:rPr lang="en-NZ" b="1"/>
            <a:t>identical process conditions</a:t>
          </a:r>
          <a:endParaRPr lang="en-NZ"/>
        </a:p>
        <a:p>
          <a:r>
            <a:rPr lang="en-NZ" b="1"/>
            <a:t>Purpose</a:t>
          </a:r>
          <a:r>
            <a:rPr lang="en-NZ"/>
            <a:t>: estimate </a:t>
          </a:r>
          <a:r>
            <a:rPr lang="en-NZ" b="1"/>
            <a:t>within-subgroup (short-term) variation</a:t>
          </a:r>
          <a:endParaRPr lang="en-NZ"/>
        </a:p>
        <a:p>
          <a:r>
            <a:rPr lang="en-NZ" b="1"/>
            <a:t>Key notes</a:t>
          </a:r>
          <a:r>
            <a:rPr lang="en-NZ"/>
            <a:t>:</a:t>
          </a:r>
        </a:p>
        <a:p>
          <a:pPr lvl="1"/>
          <a:r>
            <a:rPr lang="en-NZ"/>
            <a:t>Process must be </a:t>
          </a:r>
          <a:r>
            <a:rPr lang="en-NZ" b="1"/>
            <a:t>statistically stable (in control)</a:t>
          </a:r>
          <a:endParaRPr lang="en-NZ"/>
        </a:p>
        <a:p>
          <a:pPr lvl="1"/>
          <a:r>
            <a:rPr lang="en-NZ"/>
            <a:t>Avoid mixing different machines, tools, or setups</a:t>
          </a:r>
        </a:p>
        <a:p>
          <a:pPr lvl="1"/>
          <a:r>
            <a:rPr lang="en-NZ"/>
            <a:t>Do not include known special-cause variation</a:t>
          </a:r>
        </a:p>
        <a:p>
          <a:pPr lvl="1"/>
          <a:endParaRPr lang="en-NZ"/>
        </a:p>
        <a:p>
          <a:r>
            <a:rPr lang="en-NZ" b="1"/>
            <a:t>Sampling method for Pp</a:t>
          </a:r>
          <a:endParaRPr lang="en-NZ"/>
        </a:p>
        <a:p>
          <a:r>
            <a:rPr lang="en-NZ" b="1"/>
            <a:t>Sample size</a:t>
          </a:r>
          <a:r>
            <a:rPr lang="en-NZ"/>
            <a:t>: typically </a:t>
          </a:r>
          <a:r>
            <a:rPr lang="en-NZ" b="1"/>
            <a:t>≥ 50–100 individual samples</a:t>
          </a:r>
          <a:endParaRPr lang="en-NZ"/>
        </a:p>
        <a:p>
          <a:r>
            <a:rPr lang="en-NZ" b="1"/>
            <a:t>Sampling method</a:t>
          </a:r>
          <a:r>
            <a:rPr lang="en-NZ"/>
            <a:t>: </a:t>
          </a:r>
          <a:r>
            <a:rPr lang="en-NZ" b="1"/>
            <a:t>time-ordered sampling</a:t>
          </a:r>
          <a:r>
            <a:rPr lang="en-NZ"/>
            <a:t> across normal production (e.g. per hour, per batch)</a:t>
          </a:r>
        </a:p>
        <a:p>
          <a:r>
            <a:rPr lang="en-NZ" b="1"/>
            <a:t>Purpose</a:t>
          </a:r>
          <a:r>
            <a:rPr lang="en-NZ"/>
            <a:t>: capture </a:t>
          </a:r>
          <a:r>
            <a:rPr lang="en-NZ" b="1"/>
            <a:t>overall (long-term) variation</a:t>
          </a:r>
          <a:endParaRPr lang="en-NZ"/>
        </a:p>
        <a:p>
          <a:r>
            <a:rPr lang="en-NZ" b="1"/>
            <a:t>Key notes</a:t>
          </a:r>
          <a:r>
            <a:rPr lang="en-NZ"/>
            <a:t>:</a:t>
          </a:r>
        </a:p>
        <a:p>
          <a:pPr lvl="1"/>
          <a:r>
            <a:rPr lang="en-NZ"/>
            <a:t>Samples should reflect </a:t>
          </a:r>
          <a:r>
            <a:rPr lang="en-NZ" b="1"/>
            <a:t>actual production conditions</a:t>
          </a:r>
          <a:endParaRPr lang="en-NZ"/>
        </a:p>
        <a:p>
          <a:pPr lvl="1"/>
          <a:r>
            <a:rPr lang="en-NZ"/>
            <a:t>Do not screen out “bad” parts</a:t>
          </a:r>
        </a:p>
        <a:p>
          <a:pPr lvl="1"/>
          <a:r>
            <a:rPr lang="en-NZ"/>
            <a:t>Include shifts, drift, and batch-to-batch variation</a:t>
          </a:r>
        </a:p>
        <a:p>
          <a:pPr lvl="1"/>
          <a:endParaRPr lang="en-NZ"/>
        </a:p>
        <a:p>
          <a:pPr algn="l"/>
          <a:endParaRPr lang="en-NZ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1001\&#29983;&#29987;&#37096;&#38272;\WINDOWS\Profiles\N130603\&#65411;&#65438;&#65405;&#65400;&#65412;&#65391;&#65420;&#65439;\&#24037;&#22580;&#38263;&#20250;&#35696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0001\b12\WINDOWS\TEMP\105&#36554;&#20307;&#27083;&#25104;&#25163;&#37197;&#26360;??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post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&#12464;&#12523;&#12540;&#12503;\My%20Documents\&#65328;&#65320;&#65319;&#65298;&#27963;&#21205;&#30446;&#27161;&#21106;&#20184;&#65288;&#65326;&#65314;&#6528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29983;&#35745;&#31649;&#29702;&#25991;&#20214;\D511\xuwei\Temp\WX&#21942;&#3521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3\cq0\Cqs\70&#23567;&#26519;gr\&#36039;&#26009;\&#30435;&#26619;&#21729;&#35469;&#23450;&#9633;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w0\M1B0\&#12522;&#12473;&#12488;&#12481;&#12455;&#12483;&#12463;&#24773;&#22577;\Y11\&#65432;&#65405;&#65412;&#65409;&#65386;&#65391;&#65400;&#25216;&#36899;03&#12539;02&#12539;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1001\&#29983;&#29987;&#37096;&#38272;\&#37096;&#38272;&#20849;&#36890;\&#23567;&#23798;&#24120;&#21209;&#31649;&#29702;&#38917;&#30446;\&#29983;&#25216;97&#26085;&#65400;&#65438;&#65431;&#6542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L&#20808;&#34892;&#65411;&#65405;&#65412;&#65398;-\A000&#65420;&#65387;&#65433;&#65408;&#65438;\&#26032;&#36554;&#38598;&#3533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post\&#20491;&#20154;&#12501;&#12457;&#12523;&#12480;&#12540;\MM&#12523;&#12494;&#12540;\TestB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ib029\g-topics\01_NISSAN\800_&#20491;&#20154;&#36039;&#26009;\N170459\&#65402;&#65392;&#65412;&#65438;&#32113;&#19968;&#20316;&#26989;\Supplier%20List\&#28023;&#22806;&#25312;&#28857;\NNA\NNA_GTOP21_Supplier_List&#21517;&#23492;&#12379;&#9633;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1001\&#29983;&#29987;&#37096;&#38272;(&#20206;)\&#26368;&#26032;&#65432;&#65405;&#65412;\IP&#27161;&#2617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627;&#26408;&#65325;&#6531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q_00\nms_apl\NMS\&#20316;&#26989;&#65420;&#65387;&#65433;&#65408;&#65438;\NMS010\NMS010_99021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kaic093\&#35299;&#26512;disk\My%20Documents\&#20316;&#26989;&#12501;&#12457;&#12523;&#12480;\My%20Documents\&#20316;&#26989;&#25163;&#38918;\TIFF&#22259;&#38754;&#38306;&#20418;\&#26085;&#29987;&#31649;&#29702;&#21488;&#24115;\&#26032;&#35215;&#30058;&#21495;&#12539;&#6531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CRAN40\VA0\va9\PROJECTS\MM\MM%20Reports\ETRS\315e\TOTALETRS0907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C00\CB0\P0_SQAINF\Rating\SSC&#65295;NQA&#26908;&#35342;&#36039;&#26009;\&#12469;&#12503;&#12521;&#12452;&#12516;&#12510;&#12473;&#12479;GOM&#32113;&#21512;\FY06_SSC_Q1_ALL_BUSSINES%20UNI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0025105\&#26360;&#39006;(&#40658;&#24029;&#65289;\&#65320;&#65331;%20&#12501;&#12457;&#12523;&#12480;&#12540;\&#20181;&#20107;\HS\&#65320;&#65331;&#65318;&#6533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0025105\HS&#12501;&#12457;&#12523;&#12480;&#12540;\&#20181;&#20107;\HS\&#65320;&#65331;&#65318;&#6533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MAXCL\Mail\tmp\MsgTmp\M0bc11c4\&#36554;&#31278;&#20225;&#30011;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NT\Profiles\BSYSH\&#65411;&#65438;&#65405;&#65400;&#65412;&#65391;&#65420;&#65439;\&#26627;&#26408;&#24037;&#22580;&#38306;&#20418;\GI%20&#20462;&#27491;%20(&#65393;&#65400;&#65411;&#65384;&#65420;&#65438;&#65421;&#65391;&#65412;&#65438;&#65434;&#65405;&#65412;)4&#26376;26&#26085;\koike\Excel&#24115;&#31080;\&#12471;&#12515;&#12508;&#12531;&#29577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6627;&#26408;&#65325;&#6531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MAXCL\Mail\tmp\MsgTmp\M04262a6\&#65315;&#65301;&#65299;D\new%20fm5(act)\&#36554;&#31278;&#21029;&#21463;&#27880;&#23455;&#32318;&#65288;&#12371;&#12398;&#65420;&#65387;&#65433;&#65408;&#65438;&#20869;&#12398;&#65420;&#65383;&#65394;&#65433;&#12399;&#31435;&#19978;&#12426;3&#12534;&#26376;&#12391;&#21066;&#38500;&#12373;&#12428;&#12414;&#12377;&#12290;&#12414;&#12383;&#26376;&#21021;&#12399;&#21463;&#27880;&#12364;&#23569;&#12394;&#12356;&#28858;&#65411;&#65438;-&#65408;&#12398;&#26356;&#26032;&#12364;&#12373;&#12428;&#12394;&#12356;&#22580;&#21512;&#12364;&#12354;&#12426;&#12414;&#12377;&#12290;&#65289;\ED,WED&#21463;&#27880;&#36009;&#22770;&#23455;&#32318;\&#65420;&#65439;&#65432;&#65426;&#65392;&#65431;&#21463;&#27880;&#36009;&#22770;&#23455;&#3231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DANCE1\PROGRAM\TEMPLATE\B30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MAXCL\Mail\tmp\MsgTmp\M0bc11c4\&#36554;&#31278;&#20225;&#30011;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P1%20GROUP\J32J\MPL\J32J%20MPL&#65393;&#65391;&#65420;&#65439;&#65411;&#65438;&#65392;&#65412;#2%20030430\X61B&#12288;MPL&#65393;&#65391;&#65420;&#65439;&#65411;&#65438;&#65392;&#65412;(1)&#25216;&#36899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3\kd0\Documents%20and%20Settings\n158509\Local%20Settings\Temporary%20Internet%20Files\OLK60\0M-D06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Xz4\42_project\421_P1_group\J32B\MPL\#2\X61B&#12288;MPL&#65393;&#65391;&#65420;&#65439;&#65411;&#65438;&#65392;&#65412;(1)&#25216;&#36899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1001\&#29983;&#29987;&#37096;&#38272;\B30\&#26032;&#36554;IE&#21407;&#20385;&#20225;&#30011;&#29677;\&#65435;&#65437;&#65409;&#65437;&#65400;&#65438;\98&#65435;&#65437;&#65409;&#65437;&#65400;&#65438;&#26989;&#21209;&#35336;&#30011;(&#65298;&#65341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3\SQAINF\Documents%20and%20Settings\n181665\&#12487;&#12473;&#12463;&#12488;&#12483;&#12503;\&#24066;&#22580;&#24615;&#27604;&#36611;\&#12469;&#12473;&#12506;&#12531;&#12471;&#12519;&#12531;&#31995;&#12463;&#12524;&#12540;&#12512;&#12288;&#29694;&#35937;&#12372;&#12392;&#12398;&#24066;&#22580;&#24863;&#24230;&#27604;&#36611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20\Project\KBC\X32Eproject%20-%20&#32113;&#21512;&#12501;&#12449;&#12452;&#12523;&#12469;&#12540;&#12496;&#12288;No.4%20(Fsnml4)\&#35373;&#35336;&#35336;&#30011;&#26360;\P32E%20MC\&#65398;&#65400;1&#19978;&#30003;&#12501;&#12457;&#12540;&#12512;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kagc001\F\&#26627;&#26408;&#65325;&#6531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勤務ｼﾌﾄﾍﾞｰｽ表 下期"/>
      <sheetName val="車会集約"/>
      <sheetName val="工場長会議資料"/>
      <sheetName val="勤務ｼﾌﾄﾍﾞｰｽ・ 下期"/>
      <sheetName val="_REF"/>
      <sheetName val="（均衡率）"/>
      <sheetName val="sheet17"/>
      <sheetName val="管理项目进度表"/>
      <sheetName val="Sheet1"/>
      <sheetName val="_d_l__ (full-SUV)"/>
      <sheetName val="総合B"/>
      <sheetName val="表5-2 地区別CO2排出実績"/>
      <sheetName val="__・__×_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Sheet2"/>
      <sheetName val="Sheet3"/>
      <sheetName val="MOTO"/>
      <sheetName val="日程"/>
      <sheetName val="進め方"/>
      <sheetName val="当月步行图"/>
      <sheetName val="MPL 技連"/>
      <sheetName val="342E BLOCK"/>
      <sheetName val="生涯利益計画ｼｰﾄ"/>
      <sheetName val="PARAMETRES"/>
      <sheetName val="ＢＭＰ塗装直材"/>
      <sheetName val="Prm"/>
      <sheetName val="MM利益・原価企画方針書ｶｸ１"/>
      <sheetName val="5.1. Volume assumptions"/>
      <sheetName val="ÔïWñ"/>
      <sheetName val="ES3"/>
      <sheetName val="391.各"/>
      <sheetName val="90檢討稿_實際"/>
      <sheetName val="PROD2"/>
      <sheetName val="0397NNA"/>
      <sheetName val="Destination Table"/>
      <sheetName val="FR管理工程図"/>
      <sheetName val="Europe PU-1"/>
      <sheetName val="(1b)Company"/>
      <sheetName val="(4A)J-Market"/>
      <sheetName val="(10) ProdType"/>
      <sheetName val="ŽÔ‰ïW–ñ"/>
      <sheetName val="Customer input"/>
      <sheetName val="resume"/>
      <sheetName val="WEIGHT"/>
      <sheetName val="NYTO-model"/>
      <sheetName val="計算ｼｰﾄ"/>
      <sheetName val="外表面Ａ"/>
      <sheetName val="DIEZEL動弁相場"/>
      <sheetName val="試作工"/>
      <sheetName val="menu"/>
      <sheetName val="99年度原単位"/>
      <sheetName val="RD제품개발투자비(매가)"/>
      <sheetName val="勤務ｼﾌﾄﾍﾞｰｽ表_下期"/>
      <sheetName val="勤務ｼﾌﾄﾍﾞｰｽ・_下期"/>
      <sheetName val="_d_l___(full-SUV)"/>
      <sheetName val="表5-2_地区別CO2排出実績"/>
      <sheetName val="信息费用预算表(A4)_"/>
      <sheetName val="MPL_技連"/>
      <sheetName val="342E_BLOCK"/>
      <sheetName val="5_1__Volume_assumptions"/>
      <sheetName val="391_各"/>
      <sheetName val="Europe_PU-1"/>
      <sheetName val="Destination_Table"/>
      <sheetName val="Customer_input"/>
      <sheetName val="(10)_ProdType"/>
      <sheetName val="A"/>
      <sheetName val="管理_目_度表"/>
      <sheetName val="销售收入A4"/>
      <sheetName val="集計ﾘｽﾄ"/>
      <sheetName val="過不足ﾏﾄﾒ"/>
      <sheetName val="新目標"/>
      <sheetName val="14mmQfup"/>
      <sheetName val="ﾊﾞﾙﾌﾞﾘｰｸ"/>
      <sheetName val="99buddepr"/>
      <sheetName val="車種別生産台数"/>
      <sheetName val="Benefits Worksheet"/>
      <sheetName val="ORGINAL"/>
      <sheetName val="B"/>
      <sheetName val="C"/>
      <sheetName val="SII出荷日"/>
      <sheetName val="Consolid BS"/>
      <sheetName val="Sales by Customer"/>
      <sheetName val="ｸﾞﾗﾌﾃﾞｰﾀ"/>
      <sheetName val="稼動データ入力"/>
      <sheetName val="ﾄﾗﾍﾞﾙﾛｸﾞ後半"/>
      <sheetName val="ﾄﾗﾍﾞﾙﾛｸﾞ前半"/>
      <sheetName val="CKGC"/>
      <sheetName val="CKGZ"/>
      <sheetName val="FR FDR W"/>
      <sheetName val="HS HB NE dr 1"/>
      <sheetName val="IP標時xls"/>
      <sheetName val="ﾄﾞｶ停全体"/>
      <sheetName val="12月 原 "/>
      <sheetName val="0409"/>
      <sheetName val="F4301"/>
      <sheetName val="人工成本(铸造+机加)"/>
      <sheetName val="树脂涂装9月"/>
      <sheetName val="月报表"/>
      <sheetName val="基準ﾘｽﾄ"/>
      <sheetName val="Index"/>
      <sheetName val="Ref"/>
      <sheetName val="总公司2002.12.31"/>
      <sheetName val="QR20-1101"/>
      <sheetName val="9月存货分析"/>
      <sheetName val="管理图五"/>
      <sheetName val="まとめ"/>
      <sheetName val="星取表"/>
      <sheetName val="Exceptions"/>
      <sheetName val="ＨＸ準備費一覧"/>
      <sheetName val="094_APP別"/>
      <sheetName val="M5A0_01-01-22"/>
      <sheetName val="BOM系"/>
      <sheetName val="TM"/>
      <sheetName val="幵夛廤栺"/>
      <sheetName val="Sheet_Name_List"/>
      <sheetName val="주행"/>
      <sheetName val="正転トルク"/>
      <sheetName val="Range"/>
      <sheetName val="REN"/>
      <sheetName val="CKW1"/>
      <sheetName val="車体構成"/>
      <sheetName val="KD前提工順"/>
      <sheetName val="見積依頼部品一覧"/>
      <sheetName val="段ﾎﾞｰﾙ箱図番･荷姿ｺｰﾄﾞ"/>
      <sheetName val="折线图"/>
      <sheetName val="BS1"/>
      <sheetName val="Base"/>
      <sheetName val="管理项痮迗度表"/>
      <sheetName val="8分析1"/>
      <sheetName val="#REF!"/>
      <sheetName val="零件目标消耗差异率"/>
      <sheetName val="詳細図2（車体）"/>
      <sheetName val="試作DPロット日程"/>
      <sheetName val="IRR比較"/>
      <sheetName val="RESUMEN"/>
      <sheetName val="作業指示系"/>
      <sheetName val="通知系"/>
      <sheetName val="ﾋﾟﾆｵﾝｾﾝｻ1万"/>
      <sheetName val="万年历"/>
      <sheetName val="間接員勤務"/>
      <sheetName val="1、费用分类说明"/>
      <sheetName val="制造费用表"/>
      <sheetName val="Nissan YTD"/>
      <sheetName val="B_S"/>
      <sheetName val="工艺问题汇总"/>
      <sheetName val="5封面"/>
      <sheetName val="步行图MP"/>
      <sheetName val="SYS검토(1A1)"/>
      <sheetName val="星取・"/>
      <sheetName val="勤務ｼﾌﾄﾍﾞｰｽ表_下期1"/>
      <sheetName val="勤務ｼﾌﾄﾍﾞｰｽ・_下期1"/>
      <sheetName val="_d_l___(full-SUV)1"/>
      <sheetName val="表5-2_地区別CO2排出実績1"/>
      <sheetName val="MPL_技連1"/>
      <sheetName val="342E_BLOCK1"/>
      <sheetName val="信息费用预算表(A4)_1"/>
      <sheetName val="5_1__Volume_assumptions1"/>
      <sheetName val="391_各1"/>
      <sheetName val="Europe_PU-11"/>
      <sheetName val="Customer_input1"/>
      <sheetName val="Destination_Table1"/>
      <sheetName val="(10)_ProdType1"/>
      <sheetName val="FR_FDR_W"/>
      <sheetName val="P1 Spec of gauge(Japanese)"/>
      <sheetName val="P2 Fastening Point 1"/>
      <sheetName val="右"/>
      <sheetName val="既定値"/>
      <sheetName val="040 適用車種コード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体構成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設計通知"/>
      <sheetName val="計算ｼｰﾄ"/>
      <sheetName val="過不足ﾏﾄﾒ"/>
      <sheetName val="14mmQfup"/>
      <sheetName val="ﾊﾞﾙﾌﾞﾘｰｸ"/>
      <sheetName val="集計結果"/>
      <sheetName val="N719(NC)"/>
      <sheetName val="日程管理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機能枠（型込み）NBvsK11"/>
      <sheetName val="星取表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B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93"/>
      <sheetName val="94"/>
      <sheetName val="95"/>
      <sheetName val="96"/>
      <sheetName val="97"/>
      <sheetName val="98"/>
      <sheetName val="99"/>
      <sheetName val="00"/>
      <sheetName val="01"/>
      <sheetName val="02"/>
      <sheetName val="03"/>
      <sheetName val="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ﾜｺﾞﾝ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方針・日常管理"/>
      <sheetName val="ＧＲ管理 "/>
      <sheetName val="000000"/>
      <sheetName val="管理ｸﾞﾗﾌ"/>
      <sheetName val="Sheet1"/>
      <sheetName val="生技97日ｸﾞﾗﾌ"/>
      <sheetName val="設計通知"/>
    </sheetNames>
    <definedNames>
      <definedName name="B20UPES"/>
      <definedName name="KDNPES"/>
      <definedName name="LU0台当たり原低額"/>
      <definedName name="LV0試作進捗行く"/>
      <definedName name="LV0台当たり原低額行く"/>
      <definedName name="LV0用材費原低行く"/>
      <definedName name="N50原低"/>
      <definedName name="NPES"/>
      <definedName name="Record5"/>
      <definedName name="海外UPES"/>
      <definedName name="技開"/>
      <definedName name="拠点NPE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結果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Sheet1"/>
      <sheetName val="Sheet2"/>
      <sheetName val="Sheet3"/>
      <sheetName val="新車集計"/>
      <sheetName val="勤務ｼﾌﾄﾍﾞｰｽ表 下期"/>
      <sheetName val="___ Pilling upu_S y"/>
      <sheetName val="Rep1"/>
      <sheetName val="Rep2"/>
      <sheetName val="Suggest 5 Day"/>
      <sheetName val="detail'02"/>
      <sheetName val="TBAS (2)"/>
      <sheetName val="RABPLEM"/>
      <sheetName val="PROFILE"/>
      <sheetName val="材料使用量原紙"/>
      <sheetName val="sheet17"/>
      <sheetName val="WJ素材費"/>
      <sheetName val="Rr.AXLE"/>
      <sheetName val="流资汇总"/>
      <sheetName val="90檢討稿_實際"/>
      <sheetName val="ＣＡＭＹ　ＭⅢ"/>
      <sheetName val="MOTO"/>
      <sheetName val="ﾕｰｻﾞｰ設定"/>
      <sheetName val="#REF"/>
      <sheetName val="FINAL"/>
      <sheetName val="FY04 Six Panel"/>
      <sheetName val="参照条件"/>
      <sheetName val="①評価項目_メーカー"/>
      <sheetName val="기안"/>
      <sheetName val="JPN"/>
      <sheetName val="総合B"/>
      <sheetName val="日程管理表"/>
      <sheetName val="Basic"/>
      <sheetName val="EX"/>
      <sheetName val="MPL 技連"/>
      <sheetName val="342E BLOCK"/>
      <sheetName val="094_APP別"/>
      <sheetName val="計算"/>
      <sheetName val="BOM系"/>
      <sheetName val="Deckblatt"/>
      <sheetName val="日程"/>
      <sheetName val="進め方"/>
      <sheetName val="Maint Svgs Details"/>
      <sheetName val="Start Here"/>
      <sheetName val="EQﾏ､HQﾏ-GA18DE"/>
      <sheetName val="124乙Ｓ１"/>
      <sheetName val="Option Weights"/>
      <sheetName val="Constants"/>
      <sheetName val="Model Variation Details"/>
      <sheetName val="部品ﾘｽﾄ"/>
      <sheetName val="ES3"/>
      <sheetName val="After Sales Supplier #'s"/>
      <sheetName val="CIPA"/>
      <sheetName val="CASHFLOW"/>
      <sheetName val="N719(NC)"/>
      <sheetName val="茂雄技術資料"/>
      <sheetName val="L型鋼模報價-FROM鈞瑋-3.17"/>
      <sheetName val="L型報價清單-茂祥"/>
      <sheetName val="零件價格from趙晶"/>
      <sheetName val="391.各"/>
      <sheetName val="車体構成"/>
      <sheetName val="集計条件"/>
      <sheetName val="Target search"/>
      <sheetName val="PC"/>
      <sheetName val="Input project"/>
      <sheetName val="Input_product_Thermo"/>
      <sheetName val="Zuschlagssätze"/>
      <sheetName val="main_data"/>
      <sheetName val="Cognos JUNE"/>
      <sheetName val="SAP"/>
      <sheetName val="□ＧＩ実験車台数前提"/>
      <sheetName val="発注書"/>
      <sheetName val="大纲"/>
      <sheetName val="block ﾜｺﾞﾝ"/>
      <sheetName val="管理费用预算表(A4)"/>
      <sheetName val="研发费用预算明细表A3"/>
      <sheetName val="制造成本预算表A3"/>
      <sheetName val="事務所引越見積書"/>
      <sheetName val="設計通知"/>
      <sheetName val="ﾏｯﾁﾝｸﾞ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data"/>
      <sheetName val="Summary"/>
      <sheetName val="tZR_39區分(案)0226"/>
      <sheetName val="FR管理工程図"/>
      <sheetName val="ETRS"/>
      <sheetName val="星取表"/>
      <sheetName val="条件表"/>
      <sheetName val="PARAMETRES"/>
      <sheetName val="2005"/>
      <sheetName val="物流费用预算表(A4)"/>
      <sheetName val="销售费用预算表(A4)"/>
      <sheetName val="信息费用预算表(A4) "/>
      <sheetName val="ｼｽﾃﾑNOｿ-ﾄ"/>
      <sheetName val="0310ET部品リスト比較用"/>
      <sheetName val="#REF!"/>
      <sheetName val="標時"/>
      <sheetName val="단면 (2)"/>
      <sheetName val="MM利益・原価企画方針書ｶｸ１"/>
      <sheetName val="Prm"/>
      <sheetName val="Lists"/>
      <sheetName val="Work Days Input"/>
      <sheetName val="AOP9"/>
      <sheetName val="AOP12"/>
      <sheetName val="AOP13"/>
      <sheetName val="AOP15"/>
      <sheetName val="PLBS"/>
      <sheetName val="結果一覧 ｼｰﾄ"/>
      <sheetName val="244豪州一般ZD301生試"/>
      <sheetName val="Japan Data（実）"/>
      <sheetName val="追浜（済）"/>
      <sheetName val="Rr.AXLE (HUB DRUM)"/>
      <sheetName val="ﾏｽﾀ"/>
      <sheetName val="Car Flow"/>
      <sheetName val="block"/>
      <sheetName val="変動･平均(実機相当)"/>
      <sheetName val="マップ"/>
      <sheetName val="Base_Histórica_de_Consumo_NISSA"/>
      <sheetName val="生産総枠"/>
      <sheetName val="総括"/>
      <sheetName val="Q_WORK"/>
      <sheetName val="表紙"/>
      <sheetName val="base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生"/>
      <sheetName val="一覧"/>
      <sheetName val="square1"/>
      <sheetName val="IP仕様一覧表"/>
      <sheetName val="設備投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集計結果"/>
      <sheetName val="MM利益・原価企画方針書ｶｸ１"/>
      <sheetName val="車体構成"/>
      <sheetName val="ﾕｰｻﾞｰ設定"/>
      <sheetName val="M5A0_01-01-22"/>
      <sheetName val="EQﾏ､HQﾏ-GA18DE"/>
      <sheetName val="att 1.2 NMUK REQUIREMENTS"/>
      <sheetName val="After Sales Supplier #'s"/>
      <sheetName val="Battery"/>
      <sheetName val="block ﾜｺﾞﾝ"/>
      <sheetName val="事務所引越見積書"/>
      <sheetName val="#REF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NA-S List"/>
      <sheetName val="NNA-S List Integrated"/>
      <sheetName val="After Sales Supplier #'s"/>
      <sheetName val="After Sales Supplier work1"/>
      <sheetName val="NCI List"/>
      <sheetName val="NTC-NA Proto List"/>
      <sheetName val="NTC-NA Proto List work"/>
      <sheetName val="Supplier_Table_Global"/>
      <sheetName val="Supplier_Table_NNA"/>
      <sheetName val="技連"/>
      <sheetName val="【設計入力】日程立案"/>
      <sheetName val="車種記号・部品型式一覧"/>
      <sheetName val="Sheet1"/>
      <sheetName val="After Sales Supplier __s"/>
      <sheetName val="ﾕｰｻﾞｰ設定"/>
      <sheetName val="lookup"/>
      <sheetName val="NNA_GTOP21_Supplier_List名寄せ□N"/>
      <sheetName val="HUNIT"/>
      <sheetName val="X11EdailyV61"/>
      <sheetName val="集計結果"/>
      <sheetName val="block ﾜｺﾞﾝ"/>
      <sheetName val="Prm"/>
      <sheetName val="MM利益・原価企画方針書ｶｸ１"/>
      <sheetName val="段ﾎﾞｰﾙ箱図番･荷姿ｺｰﾄﾞ"/>
      <sheetName val="Titel"/>
      <sheetName val="Hyp"/>
      <sheetName val="SUM14ZC1"/>
      <sheetName val="総合B"/>
      <sheetName val="Flooring Calc"/>
      <sheetName val="01-05 est"/>
      <sheetName val="4.1 VT RFQ"/>
      <sheetName val="④Ks , fy"/>
      <sheetName val="Constant"/>
      <sheetName val="CNSL"/>
      <sheetName val="Currencies"/>
      <sheetName val="SCH _¥_x001a_ O"/>
      <sheetName val="Calcs"/>
      <sheetName val="Rates"/>
      <sheetName val="①評価項目_メーカー"/>
      <sheetName val="積港比率"/>
      <sheetName val="Section 3-Quote Breakdown"/>
      <sheetName val="SCH _¥_x005f_x001a_ O"/>
      <sheetName val="M1"/>
      <sheetName val="PRO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標時xls"/>
      <sheetName val="車会集約"/>
      <sheetName val="#REF"/>
      <sheetName val="勤務ｼﾌﾄﾍﾞｰｽ表 下期"/>
      <sheetName val="EJEMP"/>
      <sheetName val="Prm"/>
      <sheetName val="日程"/>
      <sheetName val="進め方"/>
      <sheetName val="NOTES"/>
      <sheetName val="ALL PARTS PRICE LIST"/>
      <sheetName val="Welcome"/>
      <sheetName val="IP標時"/>
      <sheetName val="ﾕｰｻﾞｰ設定"/>
      <sheetName val="Sheet1"/>
      <sheetName val="Sheet2"/>
      <sheetName val="Sheet3"/>
      <sheetName val="参照シートの為削除しないで下さい"/>
      <sheetName val="PARAMETRES"/>
      <sheetName val="MM利益・原価企画方針書ｶｸ１"/>
      <sheetName val="当月步行图"/>
      <sheetName val="管理图五"/>
      <sheetName val="ckfy"/>
      <sheetName val="星取・"/>
      <sheetName val="After Sales Supplier #'s"/>
      <sheetName val="X11EdailyV61"/>
      <sheetName val="表5-2 地区別CO2排出実績"/>
      <sheetName val="391.各"/>
      <sheetName val="Customer input"/>
      <sheetName val="車体構成"/>
      <sheetName val="Nomenclature"/>
      <sheetName val="MB-T"/>
      <sheetName val="AFEMAI"/>
      <sheetName val="KEY"/>
      <sheetName val="存货管理图表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Commodity names"/>
      <sheetName val="ＰＬ"/>
      <sheetName val="Data"/>
      <sheetName val="List"/>
      <sheetName val="CCM&amp;Target"/>
      <sheetName val="底表"/>
      <sheetName val="段ﾎﾞｰﾙ箱図番･荷姿ｺｰﾄﾞ"/>
      <sheetName val="Total"/>
      <sheetName val="res_mc"/>
      <sheetName val="3m"/>
      <sheetName val="勤務ｼﾌﾄﾍﾞｰｽ表_下期"/>
      <sheetName val="ALL_PARTS_PRICE_LIST"/>
      <sheetName val="After_Sales_Supplier_#'s"/>
      <sheetName val="表5-2_地区別CO2排出実績"/>
      <sheetName val="Customer_input"/>
      <sheetName val="391_各"/>
      <sheetName val="信息费用预算表(A4)_"/>
      <sheetName val="Commodity_names"/>
      <sheetName val="Base"/>
      <sheetName val="発注書"/>
      <sheetName val="ＢＭＰ塗装直材"/>
      <sheetName val="総合B"/>
      <sheetName val="124乙Ｓ１"/>
      <sheetName val="集計結果"/>
      <sheetName val="ISO Country Code"/>
      <sheetName val="FN8"/>
      <sheetName val="‚a‚l‚o“h‘•’¼Þ"/>
      <sheetName val="Destination Table"/>
      <sheetName val="管理项目进度表"/>
      <sheetName val="Export customer claim '07Aug"/>
      <sheetName val="下期予計"/>
      <sheetName val="408W (1)"/>
      <sheetName val="Macro1"/>
      <sheetName val="EFF ENSC MOD MOS"/>
      <sheetName val="MASSES FIP"/>
      <sheetName val="MASSES MOD MOS"/>
      <sheetName val="MAS VENT FIP"/>
      <sheetName val="MAS VENT MOD&amp; MOS"/>
      <sheetName val="COMP VT B01_R01_B02 SN"/>
      <sheetName val="VT TPS 01_R01_02 BK"/>
      <sheetName val="VT TPS 01_R01_02 CAM 1304"/>
      <sheetName val="VT TPS 01_R01_02 CAM 1307"/>
      <sheetName val="VT TPS 01_R01_02 BL"/>
      <sheetName val="PROFILE"/>
      <sheetName val="ETRS"/>
      <sheetName val="Nissan YTD"/>
      <sheetName val="#REF!"/>
      <sheetName val="Recommend"/>
      <sheetName val="115円ﾍﾞｰｽ"/>
      <sheetName val="99年度原単位"/>
      <sheetName val="DF data"/>
      <sheetName val="损益表（按单位)01"/>
      <sheetName val="_d_l__ (full-SUV)"/>
      <sheetName val="Japan Data（実）"/>
      <sheetName val="block ﾜｺﾞﾝ"/>
      <sheetName val="‚a‚l‚o“h‘•’’¼Þ"/>
      <sheetName val="ﾄﾞｶ停全体"/>
      <sheetName val="OS"/>
      <sheetName val="数据"/>
      <sheetName val="ES3"/>
      <sheetName val="square1"/>
      <sheetName val="BP0(bz0)見積もり"/>
      <sheetName val="大纲"/>
      <sheetName val="RABPLEM"/>
      <sheetName val="Sheet16"/>
      <sheetName val="表4-出国境培训台帐"/>
      <sheetName val="班组"/>
      <sheetName val="岗位"/>
      <sheetName val="MOTO"/>
      <sheetName val="ﾍﾞﾀﾘｽﾄ"/>
      <sheetName val="事務所引越見積書"/>
      <sheetName val="数据来源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栃木ＭＦ"/>
      <sheetName val="HYO"/>
      <sheetName val="Titel"/>
      <sheetName val="Hyp"/>
      <sheetName val="CC別納入日"/>
      <sheetName val="Base Data"/>
      <sheetName val="data"/>
      <sheetName val="仕入先ｺｰﾄﾞ"/>
      <sheetName val="Europe PU-1"/>
      <sheetName val="MPL 技連"/>
      <sheetName val="342E BLOCK"/>
      <sheetName val="XV0個人"/>
      <sheetName val="ﾌｫｰﾏｯﾄ"/>
      <sheetName val="１２月度"/>
      <sheetName val="INPUT販売計画"/>
      <sheetName val="OPT손익 내수"/>
      <sheetName val="OPT손익 수출"/>
      <sheetName val="N719(NC)"/>
      <sheetName val="square1"/>
      <sheetName val="ISO Country Code"/>
      <sheetName val="volume"/>
      <sheetName val="栃木ＭＦ.xls"/>
      <sheetName val="Übersicht"/>
      <sheetName val="After Sales Supplier #'s"/>
      <sheetName val="元データー"/>
      <sheetName val="0409"/>
    </sheetNames>
    <definedNames>
      <definedName name="DATAG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条件シート（結果）"/>
      <sheetName val="条件シート（実行）"/>
      <sheetName val="目標パターン（参照）"/>
      <sheetName val="マスタシート"/>
      <sheetName val="AutoexecSQL"/>
      <sheetName val="Config"/>
      <sheetName val="販売経過月別推移表"/>
      <sheetName val="MOTO"/>
      <sheetName val="NMS010_990215"/>
      <sheetName val="volume"/>
      <sheetName val="IP標時xls"/>
      <sheetName val="事務所引越見積書"/>
      <sheetName val="(TR)ＰＰＬ99-8-17"/>
      <sheetName val="P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規番号・Ａ"/>
      <sheetName val="担当者リスト"/>
      <sheetName val="HYO"/>
      <sheetName val="総合B"/>
      <sheetName val="PROFILE"/>
      <sheetName val="Config"/>
      <sheetName val="After Sales Supplier #'s"/>
      <sheetName val="MOTO"/>
    </sheetNames>
    <definedNames>
      <definedName name="Expo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RS"/>
      <sheetName val="Summary "/>
      <sheetName val="Section perf"/>
      <sheetName val="Late ST"/>
      <sheetName val="Late DN"/>
      <sheetName val="2 week release"/>
      <sheetName val="Tooling"/>
      <sheetName val="TOTALETRS090701"/>
      <sheetName val="実地棚卸表"/>
      <sheetName val="総合B"/>
      <sheetName val="___"/>
      <sheetName val="詳細図2（車体）"/>
      <sheetName val="ﾕｰｻﾞｰ設定"/>
      <sheetName val="星取表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MPL 技連"/>
      <sheetName val="342E BLOCK"/>
      <sheetName val="After Sales Supplier #'s"/>
      <sheetName val="Sheet16"/>
      <sheetName val="HS配管準"/>
      <sheetName val="ＶＡ"/>
      <sheetName val="IP標時xls"/>
      <sheetName val="EQﾏ､HQﾏ-GA18DE"/>
      <sheetName val="9003"/>
      <sheetName val="実績見込99"/>
      <sheetName val="零三"/>
      <sheetName val="KAIGAI"/>
      <sheetName val="集計条件"/>
      <sheetName val="等温線計算"/>
      <sheetName val="車両諸元ﾃﾞｰﾀ"/>
      <sheetName val="集計結果"/>
      <sheetName val="DK5"/>
      <sheetName val="Gas2"/>
      <sheetName val="Gas3"/>
      <sheetName val="Gas4"/>
      <sheetName val="Gas5"/>
      <sheetName val="DK1"/>
      <sheetName val="DK2"/>
      <sheetName val="DK3"/>
      <sheetName val="DK4"/>
      <sheetName val="#REF!"/>
      <sheetName val="ENGINE"/>
      <sheetName val="Eng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data"/>
      <sheetName val="ＹＹ"/>
      <sheetName val="研工事"/>
      <sheetName val="PROFILE"/>
      <sheetName val="FN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Report Data"/>
      <sheetName val="menu"/>
      <sheetName val="DataList"/>
      <sheetName val="Award_Cal"/>
      <sheetName val="支給比率"/>
      <sheetName val="Sheet3"/>
      <sheetName val="Sheet2"/>
      <sheetName val="Sheet1"/>
      <sheetName val="FY06_SSC_Q1_ALL_BUSSINES UNIT"/>
      <sheetName val="PARAMETRES"/>
      <sheetName val="ETRS"/>
      <sheetName val="IP標時xls"/>
      <sheetName val="After Sales Supplier #'s"/>
      <sheetName val="総合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管理工程図"/>
      <sheetName val="管工図表紙"/>
      <sheetName val="略図"/>
      <sheetName val="系路図原紙"/>
      <sheetName val="系路FＲ"/>
      <sheetName val="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管理工程図"/>
      <sheetName val="管工図表紙"/>
      <sheetName val="略図"/>
      <sheetName val="系路図原紙"/>
      <sheetName val="系路F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３月１"/>
      <sheetName val="４月"/>
      <sheetName val="５月"/>
      <sheetName val="６月"/>
      <sheetName val="７月"/>
      <sheetName val="８月"/>
      <sheetName val="９月"/>
      <sheetName val="上期合計"/>
      <sheetName val="１０月"/>
      <sheetName val="１１月"/>
      <sheetName val="１２月"/>
      <sheetName val="１月"/>
      <sheetName val="２月"/>
      <sheetName val="３月"/>
      <sheetName val="下期合計"/>
      <sheetName val="年度合計"/>
      <sheetName val="前月対比"/>
      <sheetName val="名簿"/>
      <sheetName val="車種企画1"/>
    </sheetNames>
    <definedNames>
      <definedName name="Record13"/>
      <definedName name="Record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ャボン玉"/>
    </sheetNames>
    <definedNames>
      <definedName name="INITDsh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栃木ＭＦ"/>
    </sheetNames>
    <definedNames>
      <definedName name="DATAGET"/>
    </defined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ﾟﾘﾒｰﾗ受注販売実績"/>
    </sheetNames>
    <definedNames>
      <definedName name="Jutyu_hanbai_input"/>
    </defined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304"/>
      <sheetName val="DoubleClick"/>
      <sheetName val="ポンチ絵"/>
      <sheetName val="億儞僠奊"/>
      <sheetName val="億___"/>
      <sheetName val="MM利益・原価企画方針書ｶｸ１"/>
      <sheetName val="PAGE 2"/>
      <sheetName val="PAGE 1"/>
      <sheetName val="PROFILE"/>
      <sheetName val="Master Parts List"/>
      <sheetName val="入力画面(1)"/>
      <sheetName val="MM_____________"/>
      <sheetName val="星取表"/>
      <sheetName val="HCCE01"/>
      <sheetName val="保証項目一覧"/>
      <sheetName val="Sheet1"/>
      <sheetName val="Month"/>
      <sheetName val="Index"/>
      <sheetName val="#REF"/>
      <sheetName val="見積依頼部品一覧"/>
      <sheetName val="Exceptions"/>
      <sheetName val="MOTO"/>
      <sheetName val="C3_N DC改造投資"/>
      <sheetName val="Pln Pdt"/>
      <sheetName val="HYO"/>
      <sheetName val="総合B"/>
    </sheetNames>
    <definedNames>
      <definedName name="PONTI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種企画1"/>
      <sheetName val="validation 1"/>
      <sheetName val="３月１"/>
      <sheetName val="４月"/>
      <sheetName val="５月"/>
      <sheetName val="６月"/>
      <sheetName val="７月"/>
      <sheetName val="８月"/>
      <sheetName val="９月"/>
      <sheetName val="上期合計"/>
      <sheetName val="１０月"/>
      <sheetName val="１１月"/>
      <sheetName val="１２月"/>
      <sheetName val="１月"/>
      <sheetName val="２月"/>
      <sheetName val="３月"/>
      <sheetName val="下期合計"/>
      <sheetName val="年度合計"/>
      <sheetName val="前月対比"/>
      <sheetName val="Europe PU-1"/>
      <sheetName val="545N仕様ﾗﾌ2"/>
      <sheetName val="ﾊﾟｲﾌﾟ"/>
      <sheetName val="他材料費"/>
      <sheetName val="熱延鋼板"/>
      <sheetName val="冷延鋼板"/>
      <sheetName val="集計結果"/>
      <sheetName val="制造成本预算表A3"/>
      <sheetName val="MOTO"/>
      <sheetName val="①評価項目_メーカー"/>
      <sheetName val="集計ﾘｽﾄ"/>
      <sheetName val="ﾌｫｰﾏｯﾄ"/>
    </sheetNames>
    <definedNames>
      <definedName name="Record13"/>
      <definedName name="Record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L 技連"/>
      <sheetName val="342A Block"/>
      <sheetName val="342E BLOCK"/>
      <sheetName val="X61B　MPLｱｯﾌﾟﾃﾞｰﾄ(1)技連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計通知"/>
      <sheetName val="Controls"/>
      <sheetName val="転記用"/>
      <sheetName val="XL4Poppy"/>
      <sheetName val="____"/>
      <sheetName val="ﾔOﾓ僅ｨﾖｪ"/>
      <sheetName val="Sheet1"/>
      <sheetName val="Sheet2"/>
      <sheetName val="Sheet3"/>
      <sheetName val="Nomenclature"/>
      <sheetName val="詳細図2（車体）"/>
      <sheetName val="FX Table"/>
      <sheetName val="Aztek"/>
      <sheetName val="ﾊﾟｲﾌﾟ"/>
      <sheetName val="他材料費"/>
      <sheetName val="冷延鋼板"/>
      <sheetName val="熱延鋼板"/>
      <sheetName val="欧州 構想書集約"/>
      <sheetName val="TF仕様比較"/>
      <sheetName val="115円ﾍﾞｰｽ"/>
      <sheetName val="MPL 技連"/>
      <sheetName val="342A Block"/>
      <sheetName val="要旨一覧表"/>
      <sheetName val="391.各"/>
      <sheetName val="DOMESTIC TRAVEL"/>
      <sheetName val="KKKKKKKK"/>
      <sheetName val="total"/>
      <sheetName val=""/>
      <sheetName val="Codes - NNA - 04.27.01 logic"/>
      <sheetName val="試作営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L 技連"/>
      <sheetName val="342A Block"/>
      <sheetName val="342E BLOCK"/>
      <sheetName val="After Sales Supplier #'s"/>
      <sheetName val="MOTO"/>
      <sheetName val="P5 ﾒﾀﾙ加工費(ﾚｰｻﾞｰ)"/>
      <sheetName val="PROFILE"/>
      <sheetName val="レシオ表"/>
      <sheetName val="設計通知"/>
      <sheetName val="X61B　MPLｱｯﾌﾟﾃﾞｰﾄ(1)技連"/>
      <sheetName val="391.各"/>
      <sheetName val="#REF"/>
      <sheetName val="ES4"/>
      <sheetName val="TKBN_TKBNA"/>
      <sheetName val="車会集約"/>
      <sheetName val="REQVEHPILOTAJE"/>
      <sheetName val="外表面Ａ"/>
      <sheetName val="Sheet1"/>
      <sheetName val="Plan Sheet"/>
      <sheetName val="ｺﾝﾄ構想再審査"/>
      <sheetName val="Sheet4"/>
      <sheetName val="EQﾏ､HQﾏ-GA18DE"/>
      <sheetName val="RC5.5"/>
      <sheetName val="N719(NC)"/>
      <sheetName val="Schedule "/>
      <sheetName val="ﾌﾟﾗｯﾄFRT"/>
      <sheetName val="１１月"/>
      <sheetName val="进口工装"/>
      <sheetName val="PAP 9Q EU00 210301"/>
      <sheetName val="61B (J)"/>
      <sheetName val="X61B (E)"/>
      <sheetName val="00-1"/>
      <sheetName val="製廃検討（計算ｼｰﾄ)"/>
      <sheetName val="初期設定"/>
      <sheetName val="ETRS"/>
      <sheetName val="型費"/>
      <sheetName val=" IB-PL-YTD"/>
      <sheetName val="残った要件"/>
      <sheetName val="車体構成"/>
      <sheetName val="総合B"/>
      <sheetName val="HS配管準"/>
      <sheetName val="①評価項目_メーカー"/>
      <sheetName val="設計通知書原紙"/>
      <sheetName val="MB Model"/>
      <sheetName val="Model"/>
      <sheetName val="tZR_39區分(案)0226"/>
      <sheetName val="一覧"/>
      <sheetName val="詳細図2（車体）"/>
      <sheetName val="Europe PU-1"/>
      <sheetName val="オリジナル"/>
      <sheetName val="PARTS LIST"/>
      <sheetName val="124乙Ｓ１"/>
      <sheetName val="欧州走行比率"/>
      <sheetName val="Eng rate and Exchange rate"/>
      <sheetName val="b_spec_ph2(batch5)"/>
      <sheetName val="MAIN"/>
      <sheetName val="매출DATA"/>
      <sheetName val="Tbom-tot"/>
      <sheetName val="Section 1-RFQ"/>
      <sheetName val="094_APP別"/>
      <sheetName val="(TR)ＰＰＬ99-8-17"/>
      <sheetName val="RN-2000M"/>
      <sheetName val="PC一覧"/>
      <sheetName val="6月本"/>
      <sheetName val="生涯利益計画ｼｰﾄ"/>
      <sheetName val="手順書"/>
      <sheetName val="ｺﾓﾝﾚｰﾙ数量ﾃﾞｰﾀA-B"/>
      <sheetName val="集計条件"/>
      <sheetName val="TM"/>
      <sheetName val="自主部品"/>
      <sheetName val="ネタ"/>
      <sheetName val="3業務分担俵(KT4-97.6"/>
      <sheetName val="記入方法"/>
      <sheetName val="CALIFMAG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め方"/>
      <sheetName val="日程"/>
      <sheetName val="Sheet1"/>
      <sheetName val="①設計部1"/>
      <sheetName val="機能別内訳"/>
      <sheetName val="部品リスト"/>
      <sheetName val="VTリスト"/>
      <sheetName val="PARAMETRES"/>
      <sheetName val="封面"/>
      <sheetName val="2-国内培训明细表"/>
      <sheetName val="3-出国（境）培训明细表"/>
      <sheetName val="IP標時xls"/>
      <sheetName val="98ﾛﾝﾁﾝｸﾞ業務計画(２_"/>
      <sheetName val="全區"/>
      <sheetName val="ﾏｽﾀ"/>
      <sheetName val="___ Pilling upu_S y"/>
      <sheetName val="万年历"/>
      <sheetName val="PROFILE"/>
      <sheetName val="选择报表"/>
      <sheetName val="CBU EXT VOL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見積依頼部品一覧"/>
      <sheetName val="M-5C"/>
      <sheetName val="企业表一"/>
      <sheetName val="M-5A"/>
      <sheetName val="‚a‚l‚o“h‘•’¼Þ"/>
      <sheetName val="提出資料"/>
      <sheetName val="流资汇总"/>
      <sheetName val="Sheet2"/>
      <sheetName val="Sheet3"/>
      <sheetName val="Model Reference"/>
      <sheetName val="5国内培训明细表"/>
      <sheetName val="6出国（境）培训明细表"/>
      <sheetName val="资产负债表"/>
      <sheetName val="8分析1"/>
      <sheetName val="ｲﾍﾞﾝﾄ"/>
      <sheetName val="X_Func_Tax Rate"/>
      <sheetName val="段ﾎﾞｰﾙ箱図番･荷姿ｺｰﾄﾞ"/>
      <sheetName val="7.1"/>
      <sheetName val="基計目標検討"/>
      <sheetName val="一覧"/>
      <sheetName val="115円ﾍﾞｰｽ"/>
      <sheetName val="ＢＭＰ塗装直材"/>
      <sheetName val="標時"/>
      <sheetName val="資材表紙"/>
      <sheetName val="カチオン・コストテーブル"/>
      <sheetName val="暗騒音→等高線"/>
      <sheetName val="専用費見積"/>
      <sheetName val="Francs courants"/>
      <sheetName val="MPL 技連"/>
      <sheetName val="342E BLOCK"/>
      <sheetName val="星取・"/>
      <sheetName val="391.各"/>
      <sheetName val="出国境培训行动计划"/>
      <sheetName val="G102"/>
      <sheetName val="データ"/>
      <sheetName val="square1"/>
      <sheetName val="X11EdailyV61"/>
      <sheetName val="99年度原単位"/>
      <sheetName val="見本２"/>
      <sheetName val="98.10月 配賦計算累計"/>
      <sheetName val="Position"/>
      <sheetName val="_選値 Pilling upu_S"/>
      <sheetName val="MAIN_SHEET"/>
      <sheetName val="Forex"/>
      <sheetName val="中山低值"/>
      <sheetName val="表"/>
      <sheetName val="BP0(bz0)見積もり"/>
      <sheetName val="要員アサイン計画表"/>
      <sheetName val="構築工数（概要）"/>
      <sheetName val="構築工数（詳細）"/>
      <sheetName val="役割分担"/>
      <sheetName val="概算旅費・宿泊費"/>
      <sheetName val="Tivoli監視"/>
      <sheetName val="FR管理工程図"/>
      <sheetName val="資産種類DD_List"/>
      <sheetName val="____Pilling_upu_S_y"/>
      <sheetName val="信息费用预算表(A4)_"/>
      <sheetName val="CBU_EXT_VOL"/>
      <sheetName val="Model_Reference"/>
      <sheetName val="X_Func_Tax_Rate"/>
      <sheetName val="7_1"/>
      <sheetName val="Francs_courants"/>
      <sheetName val="MPL_技連"/>
      <sheetName val="342E_BLOCK"/>
      <sheetName val="391_各"/>
      <sheetName val="98_10月_配賦計算累計"/>
      <sheetName val="管理项目进度表（填写数据）"/>
      <sheetName val="1-7月份"/>
      <sheetName val="後処理"/>
      <sheetName val="(TR)ＰＰＬ99-8-17"/>
      <sheetName val="AccyList"/>
      <sheetName val="P5 ﾒﾀﾙ加工費(ﾚｰｻﾞｰ)"/>
      <sheetName val="Capex"/>
      <sheetName val="Headcount Reduction"/>
      <sheetName val="参照シートの為削除しないで下さい"/>
      <sheetName val="#REF"/>
      <sheetName val="候補リスト"/>
      <sheetName val="基本情報"/>
      <sheetName val="総括"/>
      <sheetName val="テーブル"/>
      <sheetName val="クエリー"/>
      <sheetName val="個人組織変更"/>
      <sheetName val="退職引当金"/>
      <sheetName val="月変動項目"/>
      <sheetName val="アセアン"/>
      <sheetName val="2-国内培_明_表"/>
      <sheetName val="3-出国（境）培_明_表"/>
      <sheetName val="万年_"/>
      <sheetName val="UP1"/>
      <sheetName val="UP3"/>
      <sheetName val="Summary"/>
      <sheetName val="Prm"/>
      <sheetName val=" "/>
      <sheetName val="Exceptions"/>
      <sheetName val="PopCache_Sheet1"/>
      <sheetName val="MOTO"/>
      <sheetName val="월간단가"/>
      <sheetName val="C30円筒コイルばね計算"/>
      <sheetName val="総合B"/>
      <sheetName val="OS-A(English)"/>
      <sheetName val="‚a‚l‚o“h‘•’’¼Þ"/>
      <sheetName val="型上げ"/>
      <sheetName val="124乙Ｓ１"/>
      <sheetName val="MONT"/>
      <sheetName val="3封面"/>
      <sheetName val="5国内培训明细表（预算）"/>
      <sheetName val="990318報告書改訂"/>
      <sheetName val="愛知・日デ"/>
      <sheetName val="#REF!"/>
      <sheetName val="Model Years"/>
      <sheetName val="見積詳細"/>
      <sheetName val="标准零件库"/>
      <sheetName val="0409"/>
      <sheetName val="广州日产贸易G009"/>
      <sheetName val="康奈可(襄樊)G011"/>
      <sheetName val="康奈可(科技)G003"/>
      <sheetName val="康奈可(电子)G010"/>
      <sheetName val="SCH"/>
      <sheetName val="损益表（按单位)01"/>
      <sheetName val="REQVEHPILOTAJE"/>
      <sheetName val="NPV解説"/>
      <sheetName val="勤務ｼﾌﾄﾍﾞｰｽ表 下期"/>
      <sheetName val="基礎数値"/>
      <sheetName val="大纲"/>
      <sheetName val="总装设备"/>
      <sheetName val="車体構成"/>
      <sheetName val="List"/>
      <sheetName val="日程管理表"/>
      <sheetName val="Bdd_ETP"/>
      <sheetName val="Famille Projets"/>
      <sheetName val="‚a‚l‚o“h‘•''¼Þ"/>
      <sheetName val="_a_l_o_h___¼_Þ"/>
      <sheetName val="処理概説"/>
      <sheetName val="ListViewInputCheck"/>
      <sheetName val="ListViewOutputForm"/>
      <sheetName val="初期設定"/>
      <sheetName val="設計通知"/>
      <sheetName val="部品別・部位別Vc (2)"/>
      <sheetName val="CK50 仮Vc設定用  (2)"/>
      <sheetName val="管理表"/>
      <sheetName val="VQS⑦-⑭"/>
      <sheetName val="VQS⑮"/>
      <sheetName val="国内培训行动计划"/>
      <sheetName val="⑧改善ｱｲﾃﾑ管理表"/>
      <sheetName val="Business Plan Var 1"/>
      <sheetName val="BUSINESS PLAN Total"/>
      <sheetName val="車会集約"/>
      <sheetName val="出勤日"/>
      <sheetName val="セレナ"/>
      <sheetName val="型TB"/>
      <sheetName val="班组表"/>
      <sheetName val="岗位表"/>
      <sheetName val="07国内第一版"/>
      <sheetName val="07出国计划"/>
      <sheetName val="Nomenclature"/>
      <sheetName val="ckfy"/>
      <sheetName val="IRR比較"/>
      <sheetName val="6M"/>
      <sheetName val="115墌娃敖"/>
      <sheetName val="CIPA"/>
      <sheetName val="報告書表紙"/>
      <sheetName val="部品ﾘｽ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LIST1_ALL(DOM)"/>
      <sheetName val="Graph2"/>
      <sheetName val="Sheet2"/>
      <sheetName val="Sheet1"/>
      <sheetName val="ITEMLIST1_ALL(DOM) (2)"/>
      <sheetName val="#REF"/>
      <sheetName val="#REF!"/>
      <sheetName val="日程"/>
      <sheetName val="進め方"/>
      <sheetName val="総括"/>
      <sheetName val="サスペンション系クレーム　現象ごとの市場感度比較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本文"/>
      <sheetName val="Sheet3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栃木ＭＦ"/>
      <sheetName val="0409"/>
      <sheetName val="XV0個人"/>
      <sheetName val="条件表"/>
    </sheetNames>
    <definedNames>
      <definedName name="DATAGET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X53"/>
  <sheetViews>
    <sheetView tabSelected="1" zoomScaleNormal="100" zoomScaleSheetLayoutView="100" workbookViewId="0">
      <selection activeCell="T19" sqref="T19"/>
    </sheetView>
  </sheetViews>
  <sheetFormatPr defaultColWidth="7.265625" defaultRowHeight="15.75"/>
  <cols>
    <col min="1" max="1" width="3.265625" style="2" customWidth="1"/>
    <col min="2" max="2" width="15.1328125" style="2" customWidth="1"/>
    <col min="3" max="3" width="1.46484375" style="2" customWidth="1"/>
    <col min="4" max="4" width="30.73046875" style="2" customWidth="1"/>
    <col min="5" max="5" width="11.06640625" style="3" customWidth="1"/>
    <col min="6" max="6" width="2.3984375" style="2" customWidth="1"/>
    <col min="7" max="7" width="6.73046875" style="2" customWidth="1"/>
    <col min="8" max="12" width="7.1328125" style="2" customWidth="1"/>
    <col min="13" max="13" width="1.86328125" style="2" customWidth="1"/>
    <col min="14" max="15" width="7.265625" style="2" customWidth="1"/>
    <col min="16" max="232" width="7.265625" style="3" customWidth="1"/>
    <col min="233" max="16384" width="7.265625" style="2"/>
  </cols>
  <sheetData>
    <row r="1" spans="1:121" ht="22.9" customHeight="1">
      <c r="A1" s="46" t="s">
        <v>39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1"/>
    </row>
    <row r="2" spans="1:121" ht="18" customHeight="1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1"/>
      <c r="M2" s="1"/>
    </row>
    <row r="3" spans="1:121" ht="32.75" customHeight="1">
      <c r="A3" s="49" t="s">
        <v>10</v>
      </c>
      <c r="B3" s="49"/>
      <c r="C3" s="50"/>
      <c r="D3" s="62">
        <v>45232</v>
      </c>
      <c r="E3" s="63"/>
      <c r="F3" s="1"/>
      <c r="G3" s="50" t="s">
        <v>9</v>
      </c>
      <c r="H3" s="60"/>
      <c r="I3" s="60"/>
      <c r="J3" s="61"/>
      <c r="K3" s="61"/>
      <c r="L3" s="61"/>
      <c r="M3" s="1"/>
    </row>
    <row r="4" spans="1:121" ht="32.75" customHeight="1" thickBot="1">
      <c r="A4" s="49" t="s">
        <v>11</v>
      </c>
      <c r="B4" s="49"/>
      <c r="C4" s="50"/>
      <c r="D4" s="64"/>
      <c r="E4" s="63"/>
      <c r="F4" s="1"/>
      <c r="G4" s="50" t="s">
        <v>7</v>
      </c>
      <c r="H4" s="60"/>
      <c r="I4" s="60"/>
      <c r="J4" s="61"/>
      <c r="K4" s="61"/>
      <c r="L4" s="61"/>
      <c r="M4" s="1"/>
      <c r="Y4" s="44"/>
      <c r="Z4" s="44"/>
      <c r="AA4" s="44"/>
      <c r="AB4" s="44"/>
    </row>
    <row r="5" spans="1:121" ht="32.75" customHeight="1" thickBot="1">
      <c r="A5" s="51" t="s">
        <v>12</v>
      </c>
      <c r="B5" s="51"/>
      <c r="C5" s="52"/>
      <c r="D5" s="58" t="s">
        <v>0</v>
      </c>
      <c r="E5" s="59"/>
      <c r="F5" s="1"/>
      <c r="G5" s="50" t="s">
        <v>8</v>
      </c>
      <c r="H5" s="60"/>
      <c r="I5" s="60"/>
      <c r="J5" s="61"/>
      <c r="K5" s="61"/>
      <c r="L5" s="61"/>
      <c r="M5" s="1"/>
      <c r="Y5" s="44"/>
      <c r="Z5" s="44"/>
      <c r="AA5" s="44"/>
      <c r="AB5" s="44"/>
      <c r="AG5" s="3" t="str">
        <f t="shared" ref="AG5:AJ5" si="0">IF($BY$11-AG15=$CU$20,$BY$11+1,"")</f>
        <v/>
      </c>
      <c r="AH5" s="3" t="str">
        <f t="shared" si="0"/>
        <v/>
      </c>
      <c r="AI5" s="3" t="str">
        <f t="shared" si="0"/>
        <v/>
      </c>
      <c r="AJ5" s="3" t="str">
        <f t="shared" si="0"/>
        <v/>
      </c>
      <c r="AK5" s="17" t="str">
        <f>IF(B10=2,"",BY11)</f>
        <v/>
      </c>
      <c r="AL5" s="3" t="str">
        <f t="shared" ref="AL5:BX5" si="1">IF($BY$11-AL15=$CU$20,$BY$11+2,"")</f>
        <v/>
      </c>
      <c r="AM5" s="3" t="str">
        <f t="shared" si="1"/>
        <v/>
      </c>
      <c r="AN5" s="3" t="str">
        <f t="shared" si="1"/>
        <v/>
      </c>
      <c r="AO5" s="3" t="str">
        <f t="shared" si="1"/>
        <v/>
      </c>
      <c r="AP5" s="3" t="str">
        <f t="shared" si="1"/>
        <v/>
      </c>
      <c r="AQ5" s="3" t="str">
        <f t="shared" si="1"/>
        <v/>
      </c>
      <c r="AR5" s="3" t="str">
        <f t="shared" si="1"/>
        <v/>
      </c>
      <c r="AS5" s="3" t="str">
        <f t="shared" si="1"/>
        <v/>
      </c>
      <c r="AT5" s="3" t="str">
        <f t="shared" si="1"/>
        <v/>
      </c>
      <c r="AU5" s="3" t="str">
        <f t="shared" si="1"/>
        <v/>
      </c>
      <c r="AV5" s="3" t="str">
        <f t="shared" si="1"/>
        <v/>
      </c>
      <c r="AW5" s="3" t="str">
        <f t="shared" si="1"/>
        <v/>
      </c>
      <c r="AX5" s="3" t="str">
        <f t="shared" si="1"/>
        <v/>
      </c>
      <c r="AY5" s="3" t="str">
        <f t="shared" si="1"/>
        <v/>
      </c>
      <c r="AZ5" s="3" t="str">
        <f t="shared" si="1"/>
        <v/>
      </c>
      <c r="BA5" s="3" t="str">
        <f t="shared" si="1"/>
        <v/>
      </c>
      <c r="BB5" s="3" t="str">
        <f t="shared" si="1"/>
        <v/>
      </c>
      <c r="BC5" s="3" t="str">
        <f t="shared" si="1"/>
        <v/>
      </c>
      <c r="BD5" s="3" t="str">
        <f t="shared" si="1"/>
        <v/>
      </c>
      <c r="BE5" s="3" t="str">
        <f t="shared" si="1"/>
        <v/>
      </c>
      <c r="BF5" s="3" t="str">
        <f t="shared" si="1"/>
        <v/>
      </c>
      <c r="BG5" s="3" t="str">
        <f t="shared" si="1"/>
        <v/>
      </c>
      <c r="BH5" s="3" t="str">
        <f t="shared" si="1"/>
        <v/>
      </c>
      <c r="BI5" s="3" t="str">
        <f t="shared" si="1"/>
        <v/>
      </c>
      <c r="BJ5" s="3" t="str">
        <f t="shared" si="1"/>
        <v/>
      </c>
      <c r="BK5" s="3" t="str">
        <f t="shared" si="1"/>
        <v/>
      </c>
      <c r="BL5" s="3" t="str">
        <f t="shared" si="1"/>
        <v/>
      </c>
      <c r="BM5" s="3" t="str">
        <f t="shared" si="1"/>
        <v/>
      </c>
      <c r="BN5" s="3" t="str">
        <f t="shared" si="1"/>
        <v/>
      </c>
      <c r="BO5" s="3" t="str">
        <f t="shared" si="1"/>
        <v/>
      </c>
      <c r="BP5" s="3" t="str">
        <f t="shared" si="1"/>
        <v/>
      </c>
      <c r="BQ5" s="3" t="str">
        <f t="shared" si="1"/>
        <v/>
      </c>
      <c r="BR5" s="18" t="str">
        <f t="shared" si="1"/>
        <v/>
      </c>
      <c r="BS5" s="18" t="str">
        <f t="shared" si="1"/>
        <v/>
      </c>
      <c r="BT5" s="18" t="str">
        <f t="shared" si="1"/>
        <v/>
      </c>
      <c r="BU5" s="18" t="str">
        <f t="shared" si="1"/>
        <v/>
      </c>
      <c r="BV5" s="18" t="str">
        <f t="shared" si="1"/>
        <v/>
      </c>
      <c r="BW5" s="18" t="str">
        <f t="shared" si="1"/>
        <v/>
      </c>
      <c r="BX5" s="18" t="str">
        <f t="shared" si="1"/>
        <v/>
      </c>
      <c r="BY5" s="18">
        <f>BY11+2</f>
        <v>42.557180902268513</v>
      </c>
      <c r="BZ5" s="18" t="str">
        <f t="shared" ref="BZ5:DL5" si="2">IF($BY$11-BZ15=$CU$20,$BY$11+2,"")</f>
        <v/>
      </c>
      <c r="CA5" s="18" t="str">
        <f t="shared" si="2"/>
        <v/>
      </c>
      <c r="CB5" s="18" t="str">
        <f t="shared" si="2"/>
        <v/>
      </c>
      <c r="CC5" s="18" t="str">
        <f t="shared" si="2"/>
        <v/>
      </c>
      <c r="CD5" s="3" t="str">
        <f t="shared" si="2"/>
        <v/>
      </c>
      <c r="CE5" s="3" t="str">
        <f t="shared" si="2"/>
        <v/>
      </c>
      <c r="CF5" s="3" t="str">
        <f t="shared" si="2"/>
        <v/>
      </c>
      <c r="CG5" s="3">
        <f t="shared" si="2"/>
        <v>42.557180902268513</v>
      </c>
      <c r="CH5" s="3" t="str">
        <f t="shared" si="2"/>
        <v/>
      </c>
      <c r="CI5" s="3" t="str">
        <f t="shared" si="2"/>
        <v/>
      </c>
      <c r="CJ5" s="3" t="str">
        <f t="shared" si="2"/>
        <v/>
      </c>
      <c r="CK5" s="3" t="str">
        <f t="shared" si="2"/>
        <v/>
      </c>
      <c r="CL5" s="3" t="str">
        <f t="shared" si="2"/>
        <v/>
      </c>
      <c r="CM5" s="3" t="str">
        <f t="shared" si="2"/>
        <v/>
      </c>
      <c r="CN5" s="3" t="str">
        <f t="shared" si="2"/>
        <v/>
      </c>
      <c r="CO5" s="3" t="str">
        <f t="shared" si="2"/>
        <v/>
      </c>
      <c r="CP5" s="3" t="str">
        <f t="shared" si="2"/>
        <v/>
      </c>
      <c r="CQ5" s="3" t="str">
        <f t="shared" si="2"/>
        <v/>
      </c>
      <c r="CR5" s="3" t="str">
        <f t="shared" si="2"/>
        <v/>
      </c>
      <c r="CS5" s="3" t="str">
        <f t="shared" si="2"/>
        <v/>
      </c>
      <c r="CT5" s="3" t="str">
        <f t="shared" si="2"/>
        <v/>
      </c>
      <c r="CU5" s="3" t="str">
        <f t="shared" si="2"/>
        <v/>
      </c>
      <c r="CV5" s="3" t="str">
        <f t="shared" si="2"/>
        <v/>
      </c>
      <c r="CW5" s="3" t="str">
        <f t="shared" si="2"/>
        <v/>
      </c>
      <c r="CX5" s="3" t="str">
        <f t="shared" si="2"/>
        <v/>
      </c>
      <c r="CY5" s="3" t="str">
        <f t="shared" si="2"/>
        <v/>
      </c>
      <c r="CZ5" s="3" t="str">
        <f t="shared" si="2"/>
        <v/>
      </c>
      <c r="DA5" s="3" t="str">
        <f t="shared" si="2"/>
        <v/>
      </c>
      <c r="DB5" s="3" t="str">
        <f t="shared" si="2"/>
        <v/>
      </c>
      <c r="DC5" s="3" t="str">
        <f t="shared" si="2"/>
        <v/>
      </c>
      <c r="DD5" s="3" t="str">
        <f t="shared" si="2"/>
        <v/>
      </c>
      <c r="DE5" s="3" t="str">
        <f t="shared" si="2"/>
        <v/>
      </c>
      <c r="DF5" s="3" t="str">
        <f t="shared" si="2"/>
        <v/>
      </c>
      <c r="DG5" s="3" t="str">
        <f t="shared" si="2"/>
        <v/>
      </c>
      <c r="DH5" s="3" t="str">
        <f t="shared" si="2"/>
        <v/>
      </c>
      <c r="DI5" s="3" t="str">
        <f t="shared" si="2"/>
        <v/>
      </c>
      <c r="DJ5" s="3" t="str">
        <f t="shared" si="2"/>
        <v/>
      </c>
      <c r="DK5" s="3" t="str">
        <f t="shared" si="2"/>
        <v/>
      </c>
      <c r="DL5" s="3" t="str">
        <f t="shared" si="2"/>
        <v/>
      </c>
      <c r="DM5" s="19">
        <f>BY11</f>
        <v>40.557180902268513</v>
      </c>
      <c r="DN5" s="3" t="str">
        <f t="shared" ref="DN5:DQ5" si="3">IF($BY$11-DN15=$CU$20,$BY$11+2,"")</f>
        <v/>
      </c>
      <c r="DO5" s="3" t="str">
        <f t="shared" si="3"/>
        <v/>
      </c>
      <c r="DP5" s="3" t="str">
        <f t="shared" si="3"/>
        <v/>
      </c>
      <c r="DQ5" s="3" t="str">
        <f t="shared" si="3"/>
        <v/>
      </c>
    </row>
    <row r="6" spans="1:121" ht="11.45" customHeight="1" thickBot="1">
      <c r="A6" s="1"/>
      <c r="B6" s="1"/>
      <c r="C6" s="1"/>
      <c r="D6" s="1"/>
      <c r="E6" s="4"/>
      <c r="F6" s="1"/>
      <c r="G6" s="1"/>
      <c r="H6" s="1"/>
      <c r="I6" s="1"/>
      <c r="J6" s="1"/>
      <c r="K6" s="1"/>
      <c r="L6" s="1"/>
      <c r="M6" s="1"/>
      <c r="Z6" s="2"/>
      <c r="AA6" s="2"/>
      <c r="AB6" s="2"/>
      <c r="AC6" s="2"/>
      <c r="AE6" s="5"/>
      <c r="AF6" s="5"/>
      <c r="AG6" s="5"/>
      <c r="AH6" s="5"/>
      <c r="AI6" s="5"/>
      <c r="AJ6" s="5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5"/>
      <c r="BQ6" s="5"/>
      <c r="BR6" s="5"/>
      <c r="BS6" s="5"/>
      <c r="BT6" s="5"/>
      <c r="BU6" s="5"/>
      <c r="BV6" s="5"/>
      <c r="BW6" s="5"/>
      <c r="BX6" s="5"/>
      <c r="BY6" s="5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N6" s="5"/>
      <c r="DO6" s="5"/>
      <c r="DP6" s="5"/>
      <c r="DQ6" s="5"/>
    </row>
    <row r="7" spans="1:121" ht="16.149999999999999" thickBot="1">
      <c r="A7" s="1"/>
      <c r="B7" s="1"/>
      <c r="C7" s="1"/>
      <c r="D7" s="6" t="s">
        <v>18</v>
      </c>
      <c r="E7" s="7">
        <f>IF(E17="","",IF(B10=1,E13/(6*E18),IF(B10=2,(E10-E16)/(3*E18),(E16-E11)/(3*E18))))</f>
        <v>2.6737035898378312</v>
      </c>
      <c r="F7" s="1"/>
      <c r="G7" s="56" t="s">
        <v>20</v>
      </c>
      <c r="H7" s="53" t="s">
        <v>21</v>
      </c>
      <c r="I7" s="53"/>
      <c r="J7" s="53"/>
      <c r="K7" s="53"/>
      <c r="L7" s="54"/>
      <c r="M7" s="1"/>
      <c r="Z7" s="2"/>
      <c r="AA7" s="2"/>
      <c r="AB7" s="2"/>
      <c r="AC7" s="45"/>
      <c r="AD7" s="45"/>
      <c r="AE7" s="5"/>
      <c r="AF7" s="5"/>
      <c r="AG7" s="5" t="str">
        <f t="shared" ref="AG7:AJ7" si="4">IF(AG9="","",AG13)</f>
        <v/>
      </c>
      <c r="AH7" s="20" t="str">
        <f t="shared" si="4"/>
        <v/>
      </c>
      <c r="AI7" s="20" t="str">
        <f t="shared" si="4"/>
        <v/>
      </c>
      <c r="AJ7" s="20" t="str">
        <f t="shared" si="4"/>
        <v/>
      </c>
      <c r="AK7" s="20">
        <f>IF(B10=2,AK13,E11)</f>
        <v>9.8499999999999979</v>
      </c>
      <c r="AL7" s="20" t="str">
        <f t="shared" ref="AL7:BX7" si="5">IF(AL9="","",AL13)</f>
        <v/>
      </c>
      <c r="AM7" s="20" t="str">
        <f t="shared" si="5"/>
        <v/>
      </c>
      <c r="AN7" s="20" t="str">
        <f t="shared" si="5"/>
        <v/>
      </c>
      <c r="AO7" s="20" t="str">
        <f t="shared" si="5"/>
        <v/>
      </c>
      <c r="AP7" s="20" t="str">
        <f t="shared" si="5"/>
        <v/>
      </c>
      <c r="AQ7" s="20" t="str">
        <f t="shared" si="5"/>
        <v/>
      </c>
      <c r="AR7" s="20" t="str">
        <f t="shared" si="5"/>
        <v/>
      </c>
      <c r="AS7" s="20" t="str">
        <f t="shared" si="5"/>
        <v/>
      </c>
      <c r="AT7" s="20" t="str">
        <f t="shared" si="5"/>
        <v/>
      </c>
      <c r="AU7" s="20" t="str">
        <f t="shared" si="5"/>
        <v/>
      </c>
      <c r="AV7" s="20" t="str">
        <f t="shared" si="5"/>
        <v/>
      </c>
      <c r="AW7" s="20" t="str">
        <f t="shared" si="5"/>
        <v/>
      </c>
      <c r="AX7" s="20" t="str">
        <f t="shared" si="5"/>
        <v/>
      </c>
      <c r="AY7" s="20" t="str">
        <f t="shared" si="5"/>
        <v/>
      </c>
      <c r="AZ7" s="20" t="str">
        <f t="shared" si="5"/>
        <v/>
      </c>
      <c r="BA7" s="20" t="str">
        <f t="shared" si="5"/>
        <v/>
      </c>
      <c r="BB7" s="20" t="str">
        <f t="shared" si="5"/>
        <v/>
      </c>
      <c r="BC7" s="20" t="str">
        <f t="shared" si="5"/>
        <v/>
      </c>
      <c r="BD7" s="20" t="str">
        <f t="shared" si="5"/>
        <v/>
      </c>
      <c r="BE7" s="20" t="str">
        <f t="shared" si="5"/>
        <v/>
      </c>
      <c r="BF7" s="20" t="str">
        <f t="shared" si="5"/>
        <v/>
      </c>
      <c r="BG7" s="20" t="str">
        <f t="shared" si="5"/>
        <v/>
      </c>
      <c r="BH7" s="20" t="str">
        <f t="shared" si="5"/>
        <v/>
      </c>
      <c r="BI7" s="20" t="str">
        <f t="shared" si="5"/>
        <v/>
      </c>
      <c r="BJ7" s="20" t="str">
        <f t="shared" si="5"/>
        <v/>
      </c>
      <c r="BK7" s="20" t="str">
        <f t="shared" si="5"/>
        <v/>
      </c>
      <c r="BL7" s="20" t="str">
        <f t="shared" si="5"/>
        <v/>
      </c>
      <c r="BM7" s="20" t="str">
        <f t="shared" si="5"/>
        <v/>
      </c>
      <c r="BN7" s="20" t="str">
        <f t="shared" si="5"/>
        <v/>
      </c>
      <c r="BO7" s="20" t="str">
        <f t="shared" si="5"/>
        <v/>
      </c>
      <c r="BP7" s="20" t="str">
        <f t="shared" si="5"/>
        <v/>
      </c>
      <c r="BQ7" s="20" t="str">
        <f t="shared" si="5"/>
        <v/>
      </c>
      <c r="BR7" s="20" t="str">
        <f t="shared" si="5"/>
        <v/>
      </c>
      <c r="BS7" s="20" t="str">
        <f t="shared" si="5"/>
        <v/>
      </c>
      <c r="BT7" s="20" t="str">
        <f t="shared" si="5"/>
        <v/>
      </c>
      <c r="BU7" s="20" t="str">
        <f t="shared" si="5"/>
        <v/>
      </c>
      <c r="BV7" s="20" t="str">
        <f t="shared" si="5"/>
        <v/>
      </c>
      <c r="BW7" s="20" t="str">
        <f t="shared" si="5"/>
        <v/>
      </c>
      <c r="BX7" s="20" t="str">
        <f t="shared" si="5"/>
        <v/>
      </c>
      <c r="BY7" s="20">
        <f>E14</f>
        <v>9.9499999999999993</v>
      </c>
      <c r="BZ7" s="20" t="str">
        <f t="shared" ref="BZ7:DL7" si="6">IF(BZ9="","",BZ13)</f>
        <v/>
      </c>
      <c r="CA7" s="20" t="str">
        <f t="shared" si="6"/>
        <v/>
      </c>
      <c r="CB7" s="20" t="str">
        <f t="shared" si="6"/>
        <v/>
      </c>
      <c r="CC7" s="20" t="str">
        <f t="shared" si="6"/>
        <v/>
      </c>
      <c r="CD7" s="20" t="str">
        <f t="shared" si="6"/>
        <v/>
      </c>
      <c r="CE7" s="20" t="str">
        <f t="shared" si="6"/>
        <v/>
      </c>
      <c r="CF7" s="20" t="str">
        <f t="shared" si="6"/>
        <v/>
      </c>
      <c r="CG7" s="20">
        <f t="shared" si="6"/>
        <v>9.9699999999999989</v>
      </c>
      <c r="CH7" s="20" t="str">
        <f t="shared" si="6"/>
        <v/>
      </c>
      <c r="CI7" s="20" t="str">
        <f t="shared" si="6"/>
        <v/>
      </c>
      <c r="CJ7" s="20" t="str">
        <f t="shared" si="6"/>
        <v/>
      </c>
      <c r="CK7" s="20" t="str">
        <f t="shared" si="6"/>
        <v/>
      </c>
      <c r="CL7" s="20" t="str">
        <f t="shared" si="6"/>
        <v/>
      </c>
      <c r="CM7" s="20" t="str">
        <f t="shared" si="6"/>
        <v/>
      </c>
      <c r="CN7" s="20" t="str">
        <f t="shared" si="6"/>
        <v/>
      </c>
      <c r="CO7" s="20" t="str">
        <f t="shared" si="6"/>
        <v/>
      </c>
      <c r="CP7" s="20" t="str">
        <f t="shared" si="6"/>
        <v/>
      </c>
      <c r="CQ7" s="20" t="str">
        <f t="shared" si="6"/>
        <v/>
      </c>
      <c r="CR7" s="20" t="str">
        <f t="shared" si="6"/>
        <v/>
      </c>
      <c r="CS7" s="20" t="str">
        <f t="shared" si="6"/>
        <v/>
      </c>
      <c r="CT7" s="20" t="str">
        <f t="shared" si="6"/>
        <v/>
      </c>
      <c r="CU7" s="20" t="str">
        <f t="shared" si="6"/>
        <v/>
      </c>
      <c r="CV7" s="20" t="str">
        <f t="shared" si="6"/>
        <v/>
      </c>
      <c r="CW7" s="20" t="str">
        <f t="shared" si="6"/>
        <v/>
      </c>
      <c r="CX7" s="20" t="str">
        <f t="shared" si="6"/>
        <v/>
      </c>
      <c r="CY7" s="20" t="str">
        <f t="shared" si="6"/>
        <v/>
      </c>
      <c r="CZ7" s="20" t="str">
        <f t="shared" si="6"/>
        <v/>
      </c>
      <c r="DA7" s="20" t="str">
        <f t="shared" si="6"/>
        <v/>
      </c>
      <c r="DB7" s="20" t="str">
        <f t="shared" si="6"/>
        <v/>
      </c>
      <c r="DC7" s="20" t="str">
        <f t="shared" si="6"/>
        <v/>
      </c>
      <c r="DD7" s="20" t="str">
        <f t="shared" si="6"/>
        <v/>
      </c>
      <c r="DE7" s="20" t="str">
        <f t="shared" si="6"/>
        <v/>
      </c>
      <c r="DF7" s="20" t="str">
        <f t="shared" si="6"/>
        <v/>
      </c>
      <c r="DG7" s="20" t="str">
        <f t="shared" si="6"/>
        <v/>
      </c>
      <c r="DH7" s="20" t="str">
        <f t="shared" si="6"/>
        <v/>
      </c>
      <c r="DI7" s="20" t="str">
        <f t="shared" si="6"/>
        <v/>
      </c>
      <c r="DJ7" s="20" t="str">
        <f t="shared" si="6"/>
        <v/>
      </c>
      <c r="DK7" s="20" t="str">
        <f t="shared" si="6"/>
        <v/>
      </c>
      <c r="DL7" s="20" t="str">
        <f t="shared" si="6"/>
        <v/>
      </c>
      <c r="DM7" s="20">
        <f>IF(B10=3,DM13,E10)</f>
        <v>10.050000000000001</v>
      </c>
      <c r="DN7" s="20" t="str">
        <f t="shared" ref="DN7:DQ7" si="7">IF(DN9="","",DN13)</f>
        <v/>
      </c>
      <c r="DO7" s="20" t="str">
        <f t="shared" si="7"/>
        <v/>
      </c>
      <c r="DP7" s="20" t="str">
        <f t="shared" si="7"/>
        <v/>
      </c>
      <c r="DQ7" s="20" t="str">
        <f t="shared" si="7"/>
        <v/>
      </c>
    </row>
    <row r="8" spans="1:121" ht="18.399999999999999" thickBot="1">
      <c r="A8" s="1"/>
      <c r="B8" s="8"/>
      <c r="C8" s="1"/>
      <c r="D8" s="43" t="s">
        <v>19</v>
      </c>
      <c r="E8" s="7">
        <f>IF(E17="","",(1-E21)*E7)</f>
        <v>1.5454006749254765</v>
      </c>
      <c r="F8" s="1"/>
      <c r="G8" s="57"/>
      <c r="H8" s="10" t="s">
        <v>13</v>
      </c>
      <c r="I8" s="10" t="s">
        <v>14</v>
      </c>
      <c r="J8" s="10" t="s">
        <v>15</v>
      </c>
      <c r="K8" s="10" t="s">
        <v>16</v>
      </c>
      <c r="L8" s="11" t="s">
        <v>17</v>
      </c>
      <c r="M8" s="1"/>
      <c r="AA8" s="2"/>
      <c r="AB8" s="2"/>
      <c r="AC8" s="2"/>
      <c r="AD8" s="2"/>
      <c r="AE8" s="5"/>
      <c r="AF8" s="5"/>
      <c r="AG8" s="5">
        <v>1</v>
      </c>
      <c r="AH8" s="5">
        <v>2</v>
      </c>
      <c r="AI8" s="5">
        <v>3</v>
      </c>
      <c r="AJ8" s="5">
        <v>4</v>
      </c>
      <c r="AK8" s="5">
        <v>5</v>
      </c>
      <c r="AL8" s="5">
        <v>6</v>
      </c>
      <c r="AM8" s="5">
        <v>7</v>
      </c>
      <c r="AN8" s="5">
        <v>8</v>
      </c>
      <c r="AO8" s="5">
        <v>9</v>
      </c>
      <c r="AP8" s="5">
        <v>10</v>
      </c>
      <c r="AQ8" s="5">
        <v>11</v>
      </c>
      <c r="AR8" s="5">
        <v>12</v>
      </c>
      <c r="AS8" s="5">
        <v>13</v>
      </c>
      <c r="AT8" s="5">
        <v>14</v>
      </c>
      <c r="AU8" s="5">
        <v>15</v>
      </c>
      <c r="AV8" s="5">
        <v>16</v>
      </c>
      <c r="AW8" s="5">
        <v>17</v>
      </c>
      <c r="AX8" s="5">
        <v>18</v>
      </c>
      <c r="AY8" s="5">
        <v>19</v>
      </c>
      <c r="AZ8" s="5">
        <v>20</v>
      </c>
      <c r="BA8" s="5">
        <v>21</v>
      </c>
      <c r="BB8" s="5">
        <v>22</v>
      </c>
      <c r="BC8" s="5">
        <v>23</v>
      </c>
      <c r="BD8" s="5">
        <v>24</v>
      </c>
      <c r="BE8" s="5">
        <v>25</v>
      </c>
      <c r="BF8" s="5">
        <v>26</v>
      </c>
      <c r="BG8" s="5">
        <v>27</v>
      </c>
      <c r="BH8" s="5">
        <v>28</v>
      </c>
      <c r="BI8" s="5">
        <v>29</v>
      </c>
      <c r="BJ8" s="5">
        <v>30</v>
      </c>
      <c r="BK8" s="5">
        <v>31</v>
      </c>
      <c r="BL8" s="5">
        <v>32</v>
      </c>
      <c r="BM8" s="5">
        <v>33</v>
      </c>
      <c r="BN8" s="5">
        <v>34</v>
      </c>
      <c r="BO8" s="5">
        <v>35</v>
      </c>
      <c r="BP8" s="5">
        <v>36</v>
      </c>
      <c r="BQ8" s="5">
        <v>37</v>
      </c>
      <c r="BR8" s="5">
        <v>38</v>
      </c>
      <c r="BS8" s="5">
        <v>39</v>
      </c>
      <c r="BT8" s="5">
        <v>40</v>
      </c>
      <c r="BU8" s="5">
        <v>41</v>
      </c>
      <c r="BV8" s="5">
        <v>42</v>
      </c>
      <c r="BW8" s="5">
        <v>43</v>
      </c>
      <c r="BX8" s="5">
        <v>44</v>
      </c>
      <c r="BY8" s="5">
        <v>45</v>
      </c>
      <c r="BZ8" s="5">
        <v>46</v>
      </c>
      <c r="CA8" s="5">
        <v>47</v>
      </c>
      <c r="CB8" s="5">
        <v>48</v>
      </c>
      <c r="CC8" s="5">
        <v>49</v>
      </c>
      <c r="CD8" s="5">
        <v>50</v>
      </c>
      <c r="CE8" s="5">
        <v>51</v>
      </c>
      <c r="CF8" s="5">
        <v>52</v>
      </c>
      <c r="CG8" s="5">
        <v>53</v>
      </c>
      <c r="CH8" s="5">
        <v>54</v>
      </c>
      <c r="CI8" s="5">
        <v>55</v>
      </c>
      <c r="CJ8" s="5">
        <v>56</v>
      </c>
      <c r="CK8" s="5">
        <v>57</v>
      </c>
      <c r="CL8" s="5">
        <v>58</v>
      </c>
      <c r="CM8" s="5">
        <v>59</v>
      </c>
      <c r="CN8" s="5">
        <v>60</v>
      </c>
      <c r="CO8" s="5">
        <v>61</v>
      </c>
      <c r="CP8" s="5">
        <v>62</v>
      </c>
      <c r="CQ8" s="5">
        <v>63</v>
      </c>
      <c r="CR8" s="5">
        <v>64</v>
      </c>
      <c r="CS8" s="5">
        <v>65</v>
      </c>
      <c r="CT8" s="5">
        <v>66</v>
      </c>
      <c r="CU8" s="5">
        <v>67</v>
      </c>
      <c r="CV8" s="5">
        <v>68</v>
      </c>
      <c r="CW8" s="5">
        <v>69</v>
      </c>
      <c r="CX8" s="5">
        <v>70</v>
      </c>
      <c r="CY8" s="5">
        <v>71</v>
      </c>
      <c r="CZ8" s="5">
        <v>72</v>
      </c>
      <c r="DA8" s="5">
        <v>73</v>
      </c>
      <c r="DB8" s="5">
        <v>74</v>
      </c>
      <c r="DC8" s="5">
        <v>75</v>
      </c>
      <c r="DD8" s="5">
        <v>76</v>
      </c>
      <c r="DE8" s="5">
        <v>77</v>
      </c>
      <c r="DF8" s="5">
        <v>78</v>
      </c>
      <c r="DG8" s="5">
        <v>79</v>
      </c>
      <c r="DH8" s="5">
        <v>80</v>
      </c>
      <c r="DI8" s="5">
        <v>81</v>
      </c>
      <c r="DJ8" s="5">
        <v>82</v>
      </c>
      <c r="DK8" s="5">
        <v>83</v>
      </c>
      <c r="DL8" s="5">
        <v>84</v>
      </c>
      <c r="DM8" s="5">
        <v>85</v>
      </c>
      <c r="DN8" s="5">
        <v>86</v>
      </c>
      <c r="DO8" s="5">
        <v>87</v>
      </c>
      <c r="DP8" s="5">
        <v>88</v>
      </c>
      <c r="DQ8" s="5">
        <v>89</v>
      </c>
    </row>
    <row r="9" spans="1:121" ht="16.149999999999999" thickBot="1">
      <c r="A9" s="1"/>
      <c r="B9" s="8"/>
      <c r="C9" s="1"/>
      <c r="D9" s="1"/>
      <c r="E9" s="4"/>
      <c r="F9" s="1"/>
      <c r="G9" s="9">
        <v>1</v>
      </c>
      <c r="H9" s="21">
        <v>9.9700000000000006</v>
      </c>
      <c r="I9" s="21">
        <v>9.9600000000000009</v>
      </c>
      <c r="J9" s="21">
        <v>9.9700000000000006</v>
      </c>
      <c r="K9" s="21">
        <v>9.98</v>
      </c>
      <c r="L9" s="21">
        <v>9.9600000000000009</v>
      </c>
      <c r="M9" s="1"/>
      <c r="AE9" s="5"/>
      <c r="AF9" s="5"/>
      <c r="AG9" s="5" t="str">
        <f t="shared" ref="AG9:AJ9" si="8">IF(($BY$11-AG15)=$CU$20,"μ","")</f>
        <v/>
      </c>
      <c r="AH9" s="5" t="str">
        <f t="shared" si="8"/>
        <v/>
      </c>
      <c r="AI9" s="5" t="str">
        <f t="shared" si="8"/>
        <v/>
      </c>
      <c r="AJ9" s="5" t="str">
        <f t="shared" si="8"/>
        <v/>
      </c>
      <c r="AK9" s="5" t="s">
        <v>1</v>
      </c>
      <c r="AL9" s="5" t="str">
        <f t="shared" ref="AL9:BX9" si="9">IF(($BY$11-AL15)=$CU$20,"μ","")</f>
        <v/>
      </c>
      <c r="AM9" s="5" t="str">
        <f t="shared" si="9"/>
        <v/>
      </c>
      <c r="AN9" s="5" t="str">
        <f t="shared" si="9"/>
        <v/>
      </c>
      <c r="AO9" s="5" t="str">
        <f t="shared" si="9"/>
        <v/>
      </c>
      <c r="AP9" s="5" t="str">
        <f t="shared" si="9"/>
        <v/>
      </c>
      <c r="AQ9" s="5" t="str">
        <f t="shared" si="9"/>
        <v/>
      </c>
      <c r="AR9" s="5" t="str">
        <f t="shared" si="9"/>
        <v/>
      </c>
      <c r="AS9" s="5" t="str">
        <f t="shared" si="9"/>
        <v/>
      </c>
      <c r="AT9" s="5" t="str">
        <f t="shared" si="9"/>
        <v/>
      </c>
      <c r="AU9" s="5" t="str">
        <f t="shared" si="9"/>
        <v/>
      </c>
      <c r="AV9" s="5" t="str">
        <f t="shared" si="9"/>
        <v/>
      </c>
      <c r="AW9" s="5" t="str">
        <f t="shared" si="9"/>
        <v/>
      </c>
      <c r="AX9" s="5" t="str">
        <f t="shared" si="9"/>
        <v/>
      </c>
      <c r="AY9" s="5" t="str">
        <f t="shared" si="9"/>
        <v/>
      </c>
      <c r="AZ9" s="5" t="str">
        <f t="shared" si="9"/>
        <v/>
      </c>
      <c r="BA9" s="5" t="str">
        <f t="shared" si="9"/>
        <v/>
      </c>
      <c r="BB9" s="5" t="str">
        <f t="shared" si="9"/>
        <v/>
      </c>
      <c r="BC9" s="5" t="str">
        <f t="shared" si="9"/>
        <v/>
      </c>
      <c r="BD9" s="5" t="str">
        <f t="shared" si="9"/>
        <v/>
      </c>
      <c r="BE9" s="5" t="str">
        <f t="shared" si="9"/>
        <v/>
      </c>
      <c r="BF9" s="5" t="str">
        <f t="shared" si="9"/>
        <v/>
      </c>
      <c r="BG9" s="5" t="str">
        <f t="shared" si="9"/>
        <v/>
      </c>
      <c r="BH9" s="5" t="str">
        <f t="shared" si="9"/>
        <v/>
      </c>
      <c r="BI9" s="5" t="str">
        <f t="shared" si="9"/>
        <v/>
      </c>
      <c r="BJ9" s="5" t="str">
        <f t="shared" si="9"/>
        <v/>
      </c>
      <c r="BK9" s="5" t="str">
        <f t="shared" si="9"/>
        <v/>
      </c>
      <c r="BL9" s="5" t="str">
        <f t="shared" si="9"/>
        <v/>
      </c>
      <c r="BM9" s="5" t="str">
        <f t="shared" si="9"/>
        <v/>
      </c>
      <c r="BN9" s="5" t="str">
        <f t="shared" si="9"/>
        <v/>
      </c>
      <c r="BO9" s="5" t="str">
        <f t="shared" si="9"/>
        <v/>
      </c>
      <c r="BP9" s="5" t="str">
        <f t="shared" si="9"/>
        <v/>
      </c>
      <c r="BQ9" s="5" t="str">
        <f t="shared" si="9"/>
        <v/>
      </c>
      <c r="BR9" s="5" t="str">
        <f t="shared" si="9"/>
        <v/>
      </c>
      <c r="BS9" s="5" t="str">
        <f t="shared" si="9"/>
        <v/>
      </c>
      <c r="BT9" s="5" t="str">
        <f t="shared" si="9"/>
        <v/>
      </c>
      <c r="BU9" s="5" t="str">
        <f t="shared" si="9"/>
        <v/>
      </c>
      <c r="BV9" s="5" t="str">
        <f t="shared" si="9"/>
        <v/>
      </c>
      <c r="BW9" s="5" t="str">
        <f t="shared" si="9"/>
        <v/>
      </c>
      <c r="BX9" s="5" t="str">
        <f t="shared" si="9"/>
        <v/>
      </c>
      <c r="BY9" s="5" t="s">
        <v>2</v>
      </c>
      <c r="BZ9" s="5" t="str">
        <f t="shared" ref="BZ9:DL9" si="10">IF(($BY$11-BZ15)=$CU$20,"μ","")</f>
        <v/>
      </c>
      <c r="CA9" s="5" t="str">
        <f t="shared" si="10"/>
        <v/>
      </c>
      <c r="CB9" s="5" t="str">
        <f t="shared" si="10"/>
        <v/>
      </c>
      <c r="CC9" s="5" t="str">
        <f t="shared" si="10"/>
        <v/>
      </c>
      <c r="CD9" s="5" t="str">
        <f t="shared" si="10"/>
        <v/>
      </c>
      <c r="CE9" s="5" t="str">
        <f t="shared" si="10"/>
        <v/>
      </c>
      <c r="CF9" s="5" t="str">
        <f t="shared" si="10"/>
        <v/>
      </c>
      <c r="CG9" s="5" t="str">
        <f t="shared" si="10"/>
        <v>μ</v>
      </c>
      <c r="CH9" s="5" t="str">
        <f t="shared" si="10"/>
        <v/>
      </c>
      <c r="CI9" s="5" t="str">
        <f t="shared" si="10"/>
        <v/>
      </c>
      <c r="CJ9" s="5" t="str">
        <f t="shared" si="10"/>
        <v/>
      </c>
      <c r="CK9" s="5" t="str">
        <f t="shared" si="10"/>
        <v/>
      </c>
      <c r="CL9" s="5" t="str">
        <f t="shared" si="10"/>
        <v/>
      </c>
      <c r="CM9" s="5" t="str">
        <f t="shared" si="10"/>
        <v/>
      </c>
      <c r="CN9" s="5" t="str">
        <f t="shared" si="10"/>
        <v/>
      </c>
      <c r="CO9" s="5" t="str">
        <f t="shared" si="10"/>
        <v/>
      </c>
      <c r="CP9" s="5" t="str">
        <f t="shared" si="10"/>
        <v/>
      </c>
      <c r="CQ9" s="5" t="str">
        <f t="shared" si="10"/>
        <v/>
      </c>
      <c r="CR9" s="5" t="str">
        <f t="shared" si="10"/>
        <v/>
      </c>
      <c r="CS9" s="5" t="str">
        <f t="shared" si="10"/>
        <v/>
      </c>
      <c r="CT9" s="5" t="str">
        <f t="shared" si="10"/>
        <v/>
      </c>
      <c r="CU9" s="5" t="str">
        <f t="shared" si="10"/>
        <v/>
      </c>
      <c r="CV9" s="5" t="str">
        <f t="shared" si="10"/>
        <v/>
      </c>
      <c r="CW9" s="5" t="str">
        <f t="shared" si="10"/>
        <v/>
      </c>
      <c r="CX9" s="5" t="str">
        <f t="shared" si="10"/>
        <v/>
      </c>
      <c r="CY9" s="5" t="str">
        <f t="shared" si="10"/>
        <v/>
      </c>
      <c r="CZ9" s="5" t="str">
        <f t="shared" si="10"/>
        <v/>
      </c>
      <c r="DA9" s="5" t="str">
        <f t="shared" si="10"/>
        <v/>
      </c>
      <c r="DB9" s="5" t="str">
        <f t="shared" si="10"/>
        <v/>
      </c>
      <c r="DC9" s="5" t="str">
        <f t="shared" si="10"/>
        <v/>
      </c>
      <c r="DD9" s="5" t="str">
        <f t="shared" si="10"/>
        <v/>
      </c>
      <c r="DE9" s="5" t="str">
        <f t="shared" si="10"/>
        <v/>
      </c>
      <c r="DF9" s="5" t="str">
        <f t="shared" si="10"/>
        <v/>
      </c>
      <c r="DG9" s="5" t="str">
        <f t="shared" si="10"/>
        <v/>
      </c>
      <c r="DH9" s="5" t="str">
        <f t="shared" si="10"/>
        <v/>
      </c>
      <c r="DI9" s="5" t="str">
        <f t="shared" si="10"/>
        <v/>
      </c>
      <c r="DJ9" s="5" t="str">
        <f t="shared" si="10"/>
        <v/>
      </c>
      <c r="DK9" s="5" t="str">
        <f t="shared" si="10"/>
        <v/>
      </c>
      <c r="DL9" s="5" t="str">
        <f t="shared" si="10"/>
        <v/>
      </c>
      <c r="DM9" s="5" t="s">
        <v>3</v>
      </c>
      <c r="DN9" s="5" t="str">
        <f t="shared" ref="DN9:DQ9" si="11">IF(($BY$11-DN15)=$CU$20,"μ","")</f>
        <v/>
      </c>
      <c r="DO9" s="5" t="str">
        <f t="shared" si="11"/>
        <v/>
      </c>
      <c r="DP9" s="5" t="str">
        <f t="shared" si="11"/>
        <v/>
      </c>
      <c r="DQ9" s="5" t="str">
        <f t="shared" si="11"/>
        <v/>
      </c>
    </row>
    <row r="10" spans="1:121" ht="18.399999999999999" thickBot="1">
      <c r="A10" s="1"/>
      <c r="B10" s="12">
        <v>2</v>
      </c>
      <c r="C10" s="13"/>
      <c r="D10" s="22" t="s">
        <v>22</v>
      </c>
      <c r="E10" s="23">
        <v>10.050000000000001</v>
      </c>
      <c r="F10" s="1"/>
      <c r="G10" s="9">
        <v>2</v>
      </c>
      <c r="H10" s="21">
        <v>9.98</v>
      </c>
      <c r="I10" s="21">
        <v>9.98</v>
      </c>
      <c r="J10" s="21">
        <v>9.9600000000000009</v>
      </c>
      <c r="K10" s="21">
        <v>9.9600000000000009</v>
      </c>
      <c r="L10" s="21">
        <v>9.99</v>
      </c>
      <c r="M10" s="1"/>
      <c r="AE10" s="47" t="s">
        <v>4</v>
      </c>
      <c r="AF10" s="47"/>
      <c r="AG10" s="24"/>
      <c r="AH10" s="24"/>
      <c r="AI10" s="24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</row>
    <row r="11" spans="1:121" ht="18.850000000000001" customHeight="1" thickBot="1">
      <c r="A11" s="1"/>
      <c r="B11" s="8"/>
      <c r="C11" s="1"/>
      <c r="D11" s="22" t="s">
        <v>23</v>
      </c>
      <c r="E11" s="23">
        <v>9.9499999999999993</v>
      </c>
      <c r="F11" s="1"/>
      <c r="G11" s="9">
        <v>3</v>
      </c>
      <c r="H11" s="21">
        <v>9.9600000000000009</v>
      </c>
      <c r="I11" s="21">
        <v>9.9700000000000006</v>
      </c>
      <c r="J11" s="21">
        <v>9.98</v>
      </c>
      <c r="K11" s="21">
        <v>9.9600000000000009</v>
      </c>
      <c r="L11" s="21">
        <v>9.9700000000000006</v>
      </c>
      <c r="M11" s="1"/>
      <c r="AE11" s="47"/>
      <c r="AF11" s="47"/>
      <c r="AG11" s="25">
        <f t="shared" ref="AG11:BL11" si="12">EXP(-(AG13-$E$14)*(AG13-$E$14)/(2*$E$18*$E$18))/(SQRT(2*3.14159)*$E$18)</f>
        <v>2.8363600986414369E-26</v>
      </c>
      <c r="AH11" s="25">
        <f t="shared" si="12"/>
        <v>4.710499637406298E-25</v>
      </c>
      <c r="AI11" s="25">
        <f t="shared" si="12"/>
        <v>7.3336398754488675E-24</v>
      </c>
      <c r="AJ11" s="25">
        <f t="shared" si="12"/>
        <v>1.0703336573881022E-22</v>
      </c>
      <c r="AK11" s="25">
        <f t="shared" si="12"/>
        <v>1.4644204414216322E-21</v>
      </c>
      <c r="AL11" s="25">
        <f t="shared" si="12"/>
        <v>1.8782758737712552E-20</v>
      </c>
      <c r="AM11" s="25">
        <f t="shared" si="12"/>
        <v>2.2583953724208718E-19</v>
      </c>
      <c r="AN11" s="25">
        <f t="shared" si="12"/>
        <v>2.545584793287907E-18</v>
      </c>
      <c r="AO11" s="25">
        <f t="shared" si="12"/>
        <v>2.6898134331723689E-17</v>
      </c>
      <c r="AP11" s="25">
        <f t="shared" si="12"/>
        <v>2.6644265090452168E-16</v>
      </c>
      <c r="AQ11" s="25">
        <f t="shared" si="12"/>
        <v>2.4741859204854327E-15</v>
      </c>
      <c r="AR11" s="25">
        <f t="shared" si="12"/>
        <v>2.1538126034729221E-14</v>
      </c>
      <c r="AS11" s="25">
        <f t="shared" si="12"/>
        <v>1.7576422935933684E-13</v>
      </c>
      <c r="AT11" s="25">
        <f t="shared" si="12"/>
        <v>1.3446215650507068E-12</v>
      </c>
      <c r="AU11" s="25">
        <f t="shared" si="12"/>
        <v>9.6430994919120324E-12</v>
      </c>
      <c r="AV11" s="25">
        <f t="shared" si="12"/>
        <v>6.4830626800394356E-11</v>
      </c>
      <c r="AW11" s="25">
        <f t="shared" si="12"/>
        <v>4.085928766644561E-10</v>
      </c>
      <c r="AX11" s="25">
        <f t="shared" si="12"/>
        <v>2.4140616614757479E-9</v>
      </c>
      <c r="AY11" s="25">
        <f t="shared" si="12"/>
        <v>1.3370662434477885E-8</v>
      </c>
      <c r="AZ11" s="25">
        <f t="shared" si="12"/>
        <v>6.9423177500658126E-8</v>
      </c>
      <c r="BA11" s="25">
        <f t="shared" si="12"/>
        <v>3.3791155900254902E-7</v>
      </c>
      <c r="BB11" s="25">
        <f t="shared" si="12"/>
        <v>1.5418730092562156E-6</v>
      </c>
      <c r="BC11" s="25">
        <f t="shared" si="12"/>
        <v>6.5954003311751427E-6</v>
      </c>
      <c r="BD11" s="25">
        <f t="shared" si="12"/>
        <v>2.6447261834440237E-5</v>
      </c>
      <c r="BE11" s="25">
        <f t="shared" si="12"/>
        <v>9.9418513553976569E-5</v>
      </c>
      <c r="BF11" s="25">
        <f t="shared" si="12"/>
        <v>3.5034894475278897E-4</v>
      </c>
      <c r="BG11" s="25">
        <f t="shared" si="12"/>
        <v>1.1573943540336689E-3</v>
      </c>
      <c r="BH11" s="25">
        <f t="shared" si="12"/>
        <v>3.5843375560491077E-3</v>
      </c>
      <c r="BI11" s="25">
        <f t="shared" si="12"/>
        <v>1.0405990941718598E-2</v>
      </c>
      <c r="BJ11" s="25">
        <f t="shared" si="12"/>
        <v>2.8320765097470935E-2</v>
      </c>
      <c r="BK11" s="25">
        <f t="shared" si="12"/>
        <v>7.2255933742378292E-2</v>
      </c>
      <c r="BL11" s="25">
        <f t="shared" si="12"/>
        <v>0.17281803033871099</v>
      </c>
      <c r="BM11" s="25">
        <f t="shared" ref="BM11:CR11" si="13">EXP(-(BM13-$E$14)*(BM13-$E$14)/(2*$E$18*$E$18))/(SQRT(2*3.14159)*$E$18)</f>
        <v>0.38748204393265179</v>
      </c>
      <c r="BN11" s="25">
        <f t="shared" si="13"/>
        <v>0.81444377900204346</v>
      </c>
      <c r="BO11" s="25">
        <f t="shared" si="13"/>
        <v>1.6047878821879615</v>
      </c>
      <c r="BP11" s="25">
        <f t="shared" si="13"/>
        <v>2.9642932139287006</v>
      </c>
      <c r="BQ11" s="25">
        <f t="shared" si="13"/>
        <v>5.1330049232469497</v>
      </c>
      <c r="BR11" s="25">
        <f t="shared" si="13"/>
        <v>8.332382523447027</v>
      </c>
      <c r="BS11" s="25">
        <f t="shared" si="13"/>
        <v>12.679838305415201</v>
      </c>
      <c r="BT11" s="25">
        <f t="shared" si="13"/>
        <v>18.088611406310079</v>
      </c>
      <c r="BU11" s="25">
        <f t="shared" si="13"/>
        <v>24.190438457899518</v>
      </c>
      <c r="BV11" s="25">
        <f t="shared" si="13"/>
        <v>30.32698586068496</v>
      </c>
      <c r="BW11" s="25">
        <f t="shared" si="13"/>
        <v>35.641974484748964</v>
      </c>
      <c r="BX11" s="25">
        <f t="shared" si="13"/>
        <v>39.26822390687272</v>
      </c>
      <c r="BY11" s="25">
        <f t="shared" si="13"/>
        <v>40.557180902268513</v>
      </c>
      <c r="BZ11" s="25">
        <f t="shared" si="13"/>
        <v>39.26822390687272</v>
      </c>
      <c r="CA11" s="25">
        <f t="shared" si="13"/>
        <v>35.641974484748964</v>
      </c>
      <c r="CB11" s="25">
        <f t="shared" si="13"/>
        <v>30.32698586068496</v>
      </c>
      <c r="CC11" s="25">
        <f t="shared" si="13"/>
        <v>24.190438457899518</v>
      </c>
      <c r="CD11" s="25">
        <f t="shared" si="13"/>
        <v>18.088611406310079</v>
      </c>
      <c r="CE11" s="25">
        <f t="shared" si="13"/>
        <v>12.679838305415201</v>
      </c>
      <c r="CF11" s="25">
        <f t="shared" si="13"/>
        <v>8.332382523447027</v>
      </c>
      <c r="CG11" s="25">
        <f t="shared" si="13"/>
        <v>5.1330049232469497</v>
      </c>
      <c r="CH11" s="25">
        <f t="shared" si="13"/>
        <v>2.9642932139287006</v>
      </c>
      <c r="CI11" s="25">
        <f t="shared" si="13"/>
        <v>1.6047878821879615</v>
      </c>
      <c r="CJ11" s="25">
        <f t="shared" si="13"/>
        <v>0.81444377900204346</v>
      </c>
      <c r="CK11" s="25">
        <f t="shared" si="13"/>
        <v>0.38748204393265179</v>
      </c>
      <c r="CL11" s="25">
        <f t="shared" si="13"/>
        <v>0.17281803033871099</v>
      </c>
      <c r="CM11" s="25">
        <f t="shared" si="13"/>
        <v>7.2255933742378292E-2</v>
      </c>
      <c r="CN11" s="25">
        <f t="shared" si="13"/>
        <v>2.8320765097470935E-2</v>
      </c>
      <c r="CO11" s="25">
        <f t="shared" si="13"/>
        <v>1.0405990941718598E-2</v>
      </c>
      <c r="CP11" s="25">
        <f t="shared" si="13"/>
        <v>3.5843375560491077E-3</v>
      </c>
      <c r="CQ11" s="25">
        <f t="shared" si="13"/>
        <v>1.1573943540336689E-3</v>
      </c>
      <c r="CR11" s="25">
        <f t="shared" si="13"/>
        <v>3.5034894475278897E-4</v>
      </c>
      <c r="CS11" s="25">
        <f t="shared" ref="CS11:DQ11" si="14">EXP(-(CS13-$E$14)*(CS13-$E$14)/(2*$E$18*$E$18))/(SQRT(2*3.14159)*$E$18)</f>
        <v>9.9418513553976569E-5</v>
      </c>
      <c r="CT11" s="25">
        <f t="shared" si="14"/>
        <v>2.6447261834440237E-5</v>
      </c>
      <c r="CU11" s="25">
        <f t="shared" si="14"/>
        <v>6.5954003311751427E-6</v>
      </c>
      <c r="CV11" s="25">
        <f t="shared" si="14"/>
        <v>1.5418730092562156E-6</v>
      </c>
      <c r="CW11" s="25">
        <f t="shared" si="14"/>
        <v>3.3791155900254902E-7</v>
      </c>
      <c r="CX11" s="25">
        <f t="shared" si="14"/>
        <v>6.9423177500658126E-8</v>
      </c>
      <c r="CY11" s="25">
        <f t="shared" si="14"/>
        <v>1.3370662434477885E-8</v>
      </c>
      <c r="CZ11" s="25">
        <f t="shared" si="14"/>
        <v>2.4140616614757479E-9</v>
      </c>
      <c r="DA11" s="25">
        <f t="shared" si="14"/>
        <v>4.085928766644561E-10</v>
      </c>
      <c r="DB11" s="25">
        <f t="shared" si="14"/>
        <v>6.4830626800394356E-11</v>
      </c>
      <c r="DC11" s="25">
        <f t="shared" si="14"/>
        <v>9.6430994919120324E-12</v>
      </c>
      <c r="DD11" s="25">
        <f t="shared" si="14"/>
        <v>1.3446215650507068E-12</v>
      </c>
      <c r="DE11" s="25">
        <f t="shared" si="14"/>
        <v>1.7576422935933684E-13</v>
      </c>
      <c r="DF11" s="25">
        <f t="shared" si="14"/>
        <v>2.1538126034729221E-14</v>
      </c>
      <c r="DG11" s="25">
        <f t="shared" si="14"/>
        <v>2.4741859204854327E-15</v>
      </c>
      <c r="DH11" s="25">
        <f t="shared" si="14"/>
        <v>2.6644265090452168E-16</v>
      </c>
      <c r="DI11" s="25">
        <f t="shared" si="14"/>
        <v>2.6898134331723689E-17</v>
      </c>
      <c r="DJ11" s="25">
        <f t="shared" si="14"/>
        <v>2.545584793287907E-18</v>
      </c>
      <c r="DK11" s="25">
        <f t="shared" si="14"/>
        <v>2.2583953724208718E-19</v>
      </c>
      <c r="DL11" s="25">
        <f t="shared" si="14"/>
        <v>1.8782758737712552E-20</v>
      </c>
      <c r="DM11" s="25">
        <f t="shared" si="14"/>
        <v>1.4644204414216322E-21</v>
      </c>
      <c r="DN11" s="25">
        <f t="shared" si="14"/>
        <v>1.0703336573881022E-22</v>
      </c>
      <c r="DO11" s="25">
        <f t="shared" si="14"/>
        <v>7.3336398754488675E-24</v>
      </c>
      <c r="DP11" s="25">
        <f t="shared" si="14"/>
        <v>4.710499637406298E-25</v>
      </c>
      <c r="DQ11" s="25">
        <f t="shared" si="14"/>
        <v>2.8363600986414369E-26</v>
      </c>
    </row>
    <row r="12" spans="1:121" ht="16.149999999999999" thickBot="1">
      <c r="A12" s="1"/>
      <c r="B12" s="8"/>
      <c r="C12" s="1"/>
      <c r="D12" s="1"/>
      <c r="E12" s="4"/>
      <c r="F12" s="1"/>
      <c r="G12" s="9">
        <v>4</v>
      </c>
      <c r="H12" s="21">
        <v>9.9700000000000006</v>
      </c>
      <c r="I12" s="21">
        <v>9.9700000000000006</v>
      </c>
      <c r="J12" s="21">
        <v>9.9600000000000009</v>
      </c>
      <c r="K12" s="21">
        <v>9.98</v>
      </c>
      <c r="L12" s="21">
        <v>9.9600000000000009</v>
      </c>
      <c r="M12" s="1"/>
      <c r="AE12" s="47"/>
      <c r="AF12" s="47"/>
      <c r="AG12" s="24"/>
      <c r="AH12" s="24"/>
      <c r="AI12" s="24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</row>
    <row r="13" spans="1:121" ht="16.149999999999999" thickBot="1">
      <c r="A13" s="1"/>
      <c r="B13" s="8"/>
      <c r="C13" s="1"/>
      <c r="D13" s="26" t="s">
        <v>24</v>
      </c>
      <c r="E13" s="27">
        <v>0.1</v>
      </c>
      <c r="F13" s="1"/>
      <c r="G13" s="9">
        <v>5</v>
      </c>
      <c r="H13" s="21">
        <v>9.9700000000000006</v>
      </c>
      <c r="I13" s="21">
        <v>9.98</v>
      </c>
      <c r="J13" s="21">
        <v>9.99</v>
      </c>
      <c r="K13" s="21">
        <v>9.9600000000000009</v>
      </c>
      <c r="L13" s="21">
        <v>9.9600000000000009</v>
      </c>
      <c r="M13" s="1"/>
      <c r="AE13" s="5"/>
      <c r="AF13" s="5"/>
      <c r="AG13" s="3">
        <f>BY13-44*AD19</f>
        <v>9.8399999999999981</v>
      </c>
      <c r="AH13" s="3">
        <f>BY13-43*AD19</f>
        <v>9.8424999999999976</v>
      </c>
      <c r="AI13" s="3">
        <f>BY13-42*AD19</f>
        <v>9.8449999999999971</v>
      </c>
      <c r="AJ13" s="5">
        <f>BY13-41*AD19</f>
        <v>9.8474999999999984</v>
      </c>
      <c r="AK13" s="5">
        <f>BY13-40*AD19</f>
        <v>9.8499999999999979</v>
      </c>
      <c r="AL13" s="5">
        <f>BY13-39*AD19</f>
        <v>9.8524999999999974</v>
      </c>
      <c r="AM13" s="5">
        <f>BY13-38*AD19</f>
        <v>9.8549999999999986</v>
      </c>
      <c r="AN13" s="5">
        <f>BY13-37*AD19</f>
        <v>9.8574999999999982</v>
      </c>
      <c r="AO13" s="5">
        <f>BY13-36*AD19</f>
        <v>9.8599999999999977</v>
      </c>
      <c r="AP13" s="5">
        <f>BY13-35*AD19</f>
        <v>9.8624999999999972</v>
      </c>
      <c r="AQ13" s="5">
        <f>BY13-34*AD19</f>
        <v>9.8649999999999984</v>
      </c>
      <c r="AR13" s="5">
        <f>BY13-33*AD19</f>
        <v>9.8674999999999979</v>
      </c>
      <c r="AS13" s="5">
        <f>BY13-32*AD19</f>
        <v>9.8699999999999974</v>
      </c>
      <c r="AT13" s="5">
        <f>BY13-31*AD19</f>
        <v>9.8724999999999987</v>
      </c>
      <c r="AU13" s="5">
        <f>BY13-30*AD19</f>
        <v>9.8749999999999982</v>
      </c>
      <c r="AV13" s="28">
        <f>BY13-29*AD19</f>
        <v>9.8774999999999977</v>
      </c>
      <c r="AW13" s="5">
        <f>BY13-28*AD19</f>
        <v>9.879999999999999</v>
      </c>
      <c r="AX13" s="5">
        <f>BY13-27*AD19</f>
        <v>9.8824999999999985</v>
      </c>
      <c r="AY13" s="5">
        <f>BY13-26*AD19</f>
        <v>9.884999999999998</v>
      </c>
      <c r="AZ13" s="5">
        <f>BY13-25*AD19</f>
        <v>9.8874999999999993</v>
      </c>
      <c r="BA13" s="5">
        <f>BY13-24*AD19</f>
        <v>9.8899999999999988</v>
      </c>
      <c r="BB13" s="5">
        <f>BY13-23*AD19</f>
        <v>9.8924999999999983</v>
      </c>
      <c r="BC13" s="5">
        <f>BY13-22*AD19</f>
        <v>9.8949999999999978</v>
      </c>
      <c r="BD13" s="5">
        <f>BY13-21*AD19</f>
        <v>9.8974999999999991</v>
      </c>
      <c r="BE13" s="5">
        <f>BY13-20*AD19</f>
        <v>9.8999999999999986</v>
      </c>
      <c r="BF13" s="5">
        <f>BY13-19*AD19</f>
        <v>9.9024999999999981</v>
      </c>
      <c r="BG13" s="5">
        <f>BY13-18*AD19</f>
        <v>9.9049999999999994</v>
      </c>
      <c r="BH13" s="5">
        <f>BY13-17*AD19</f>
        <v>9.9074999999999989</v>
      </c>
      <c r="BI13" s="5">
        <f>BY13-16*AD19</f>
        <v>9.9099999999999984</v>
      </c>
      <c r="BJ13" s="5">
        <f>BY13-15*AD19</f>
        <v>9.9124999999999979</v>
      </c>
      <c r="BK13" s="5">
        <f>BY13-14*AD19</f>
        <v>9.9149999999999991</v>
      </c>
      <c r="BL13" s="5">
        <f>BY13-13*AD19</f>
        <v>9.9174999999999986</v>
      </c>
      <c r="BM13" s="5">
        <f>BY13-12*AD19</f>
        <v>9.9199999999999982</v>
      </c>
      <c r="BN13" s="5">
        <f>BY13-11*AD19</f>
        <v>9.9224999999999994</v>
      </c>
      <c r="BO13" s="28">
        <f>BY13-10*AD19</f>
        <v>9.9249999999999989</v>
      </c>
      <c r="BP13" s="28">
        <f>BY13-9*AD19</f>
        <v>9.9274999999999984</v>
      </c>
      <c r="BQ13" s="28">
        <f>BY13-8*AD19</f>
        <v>9.93</v>
      </c>
      <c r="BR13" s="28">
        <f>BY13-7*AD19</f>
        <v>9.9324999999999992</v>
      </c>
      <c r="BS13" s="28">
        <f>BY13-6*AD19</f>
        <v>9.9349999999999987</v>
      </c>
      <c r="BT13" s="28">
        <f>BY13-5*AD19</f>
        <v>9.9375</v>
      </c>
      <c r="BU13" s="28">
        <f>BY13-4*AD19</f>
        <v>9.94</v>
      </c>
      <c r="BV13" s="28">
        <f>BY13-3*AD19</f>
        <v>9.942499999999999</v>
      </c>
      <c r="BW13" s="28">
        <f>BY13-2*AD19</f>
        <v>9.9449999999999985</v>
      </c>
      <c r="BX13" s="28">
        <f>BY13-AD19</f>
        <v>9.9474999999999998</v>
      </c>
      <c r="BY13" s="28">
        <f>E14</f>
        <v>9.9499999999999993</v>
      </c>
      <c r="BZ13" s="28">
        <f>BY13+AD19</f>
        <v>9.9524999999999988</v>
      </c>
      <c r="CA13" s="28">
        <f>BY13+2*AD19</f>
        <v>9.9550000000000001</v>
      </c>
      <c r="CB13" s="28">
        <f>BY13+3*AD19</f>
        <v>9.9574999999999996</v>
      </c>
      <c r="CC13" s="28">
        <f>BY13+4*AD19</f>
        <v>9.9599999999999991</v>
      </c>
      <c r="CD13" s="28">
        <f>BY13+5*AD19</f>
        <v>9.9624999999999986</v>
      </c>
      <c r="CE13" s="28">
        <f>BY13+6*AD19</f>
        <v>9.9649999999999999</v>
      </c>
      <c r="CF13" s="28">
        <f>BY13+7*AD19</f>
        <v>9.9674999999999994</v>
      </c>
      <c r="CG13" s="28">
        <f>BY13+8*AD19</f>
        <v>9.9699999999999989</v>
      </c>
      <c r="CH13" s="28">
        <f>BY13+9*AD19</f>
        <v>9.9725000000000001</v>
      </c>
      <c r="CI13" s="5">
        <f>BY13+10*AD19</f>
        <v>9.9749999999999996</v>
      </c>
      <c r="CJ13" s="5">
        <f>BY13+11*AD19</f>
        <v>9.9774999999999991</v>
      </c>
      <c r="CK13" s="5">
        <f>BY13+12*AD19</f>
        <v>9.98</v>
      </c>
      <c r="CL13" s="5">
        <f>BY13+13*AD19</f>
        <v>9.9824999999999999</v>
      </c>
      <c r="CM13" s="5">
        <f>BY13+14*AD19</f>
        <v>9.9849999999999994</v>
      </c>
      <c r="CN13" s="5">
        <f>BY13+15*AD19</f>
        <v>9.9875000000000007</v>
      </c>
      <c r="CO13" s="5">
        <f>BY13+16*AD19</f>
        <v>9.99</v>
      </c>
      <c r="CP13" s="5">
        <f>BY13+17*AD19</f>
        <v>9.9924999999999997</v>
      </c>
      <c r="CQ13" s="5">
        <f>BY13+18*AD19</f>
        <v>9.9949999999999992</v>
      </c>
      <c r="CR13" s="5">
        <f>BY13+19*AD19</f>
        <v>9.9975000000000005</v>
      </c>
      <c r="CS13" s="5">
        <f>BY13+20*AD19</f>
        <v>10</v>
      </c>
      <c r="CT13" s="5">
        <f>BY13+21*AD19</f>
        <v>10.0025</v>
      </c>
      <c r="CU13" s="5">
        <f>BY13+22*AD19</f>
        <v>10.005000000000001</v>
      </c>
      <c r="CV13" s="5">
        <f>BY13+23*AD19</f>
        <v>10.0075</v>
      </c>
      <c r="CW13" s="5">
        <f>BY13+24*AD19</f>
        <v>10.01</v>
      </c>
      <c r="CX13" s="5">
        <f>BY13+25*AD19</f>
        <v>10.012499999999999</v>
      </c>
      <c r="CY13" s="5">
        <f>BY13+26*AD19</f>
        <v>10.015000000000001</v>
      </c>
      <c r="CZ13" s="5">
        <f>BY13+27*AD19</f>
        <v>10.0175</v>
      </c>
      <c r="DA13" s="5">
        <f>BY13+28*AD19</f>
        <v>10.02</v>
      </c>
      <c r="DB13" s="5">
        <f>BY13+29*AD19</f>
        <v>10.022500000000001</v>
      </c>
      <c r="DC13" s="5">
        <f>BY13+30*AD19</f>
        <v>10.025</v>
      </c>
      <c r="DD13" s="5">
        <f>BY13+31*AD19</f>
        <v>10.0275</v>
      </c>
      <c r="DE13" s="5">
        <f>BY13+32*AD19</f>
        <v>10.030000000000001</v>
      </c>
      <c r="DF13" s="5">
        <f>BY13+33*AD19</f>
        <v>10.032500000000001</v>
      </c>
      <c r="DG13" s="5">
        <f>BY13+34*AD19</f>
        <v>10.035</v>
      </c>
      <c r="DH13" s="5">
        <f>BY13+35*AD19</f>
        <v>10.037500000000001</v>
      </c>
      <c r="DI13" s="5">
        <f>BY13+36*AD19</f>
        <v>10.040000000000001</v>
      </c>
      <c r="DJ13" s="5">
        <f>BY13+37*AD19</f>
        <v>10.0425</v>
      </c>
      <c r="DK13" s="5">
        <f>BY13+38*AD19</f>
        <v>10.045</v>
      </c>
      <c r="DL13" s="5">
        <f>BY13+39*AD19</f>
        <v>10.047500000000001</v>
      </c>
      <c r="DM13" s="5">
        <f>BY13+40*AD19</f>
        <v>10.050000000000001</v>
      </c>
      <c r="DN13" s="5">
        <f>BY13+41*AD19</f>
        <v>10.0525</v>
      </c>
      <c r="DO13" s="5">
        <f>BY13+42*AD19</f>
        <v>10.055000000000001</v>
      </c>
      <c r="DP13" s="5">
        <f>BY13+43*AD19</f>
        <v>10.057500000000001</v>
      </c>
      <c r="DQ13" s="5">
        <f>BY13+44*AD19</f>
        <v>10.06</v>
      </c>
    </row>
    <row r="14" spans="1:121" ht="16.149999999999999" thickBot="1">
      <c r="A14" s="1"/>
      <c r="B14" s="8"/>
      <c r="C14" s="1"/>
      <c r="D14" s="26" t="s">
        <v>25</v>
      </c>
      <c r="E14" s="27">
        <v>9.9499999999999993</v>
      </c>
      <c r="F14" s="1"/>
      <c r="G14" s="9">
        <v>6</v>
      </c>
      <c r="H14" s="21">
        <v>9.9600000000000009</v>
      </c>
      <c r="I14" s="21">
        <v>9.99</v>
      </c>
      <c r="J14" s="21">
        <v>9.9700000000000006</v>
      </c>
      <c r="K14" s="21">
        <v>9.98</v>
      </c>
      <c r="L14" s="21">
        <v>9.98</v>
      </c>
      <c r="M14" s="1"/>
      <c r="AE14" s="47" t="s">
        <v>5</v>
      </c>
      <c r="AF14" s="48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</row>
    <row r="15" spans="1:121" ht="16.149999999999999" thickBot="1">
      <c r="A15" s="1"/>
      <c r="B15" s="8"/>
      <c r="C15" s="1"/>
      <c r="D15" s="1"/>
      <c r="E15" s="4"/>
      <c r="F15" s="1"/>
      <c r="G15" s="9">
        <v>7</v>
      </c>
      <c r="H15" s="21">
        <v>9.9600000000000009</v>
      </c>
      <c r="I15" s="21">
        <v>9.9700000000000006</v>
      </c>
      <c r="J15" s="21">
        <v>9.98</v>
      </c>
      <c r="K15" s="21">
        <v>9.9600000000000009</v>
      </c>
      <c r="L15" s="21">
        <v>9.9700000000000006</v>
      </c>
      <c r="M15" s="1"/>
      <c r="AE15" s="48"/>
      <c r="AF15" s="48"/>
      <c r="AG15" s="25">
        <f t="shared" ref="AG15:BL15" si="15">EXP(-(AG13-$E$16)*(AG13-$E$16)/(2*$E$18*$E$18))/(SQRT(2*3.14159)*$E$18)</f>
        <v>1.0860259204481939E-37</v>
      </c>
      <c r="AH15" s="25">
        <f t="shared" si="15"/>
        <v>3.1110940422644448E-36</v>
      </c>
      <c r="AI15" s="25">
        <f t="shared" si="15"/>
        <v>8.3547428071667178E-35</v>
      </c>
      <c r="AJ15" s="25">
        <f t="shared" si="15"/>
        <v>2.1032942208426786E-33</v>
      </c>
      <c r="AK15" s="25">
        <f t="shared" si="15"/>
        <v>4.9637965116466718E-32</v>
      </c>
      <c r="AL15" s="25">
        <f t="shared" si="15"/>
        <v>1.0981834842626721E-30</v>
      </c>
      <c r="AM15" s="25">
        <f t="shared" si="15"/>
        <v>2.2776282667709343E-29</v>
      </c>
      <c r="AN15" s="25">
        <f t="shared" si="15"/>
        <v>4.4283075723117877E-28</v>
      </c>
      <c r="AO15" s="25">
        <f t="shared" si="15"/>
        <v>8.0712297289130215E-27</v>
      </c>
      <c r="AP15" s="25">
        <f t="shared" si="15"/>
        <v>1.3790773869017335E-25</v>
      </c>
      <c r="AQ15" s="25">
        <f t="shared" si="15"/>
        <v>2.2089432748207254E-24</v>
      </c>
      <c r="AR15" s="25">
        <f t="shared" si="15"/>
        <v>3.3168626436664068E-23</v>
      </c>
      <c r="AS15" s="25">
        <f t="shared" si="15"/>
        <v>4.6689304899291664E-22</v>
      </c>
      <c r="AT15" s="25">
        <f t="shared" si="15"/>
        <v>6.1610442360023546E-21</v>
      </c>
      <c r="AU15" s="25">
        <f t="shared" si="15"/>
        <v>7.6214612042784228E-20</v>
      </c>
      <c r="AV15" s="25">
        <f t="shared" si="15"/>
        <v>8.8383085115894732E-19</v>
      </c>
      <c r="AW15" s="25">
        <f t="shared" si="15"/>
        <v>9.6083113667720748E-18</v>
      </c>
      <c r="AX15" s="25">
        <f t="shared" si="15"/>
        <v>9.7920129058251489E-17</v>
      </c>
      <c r="AY15" s="25">
        <f t="shared" si="15"/>
        <v>9.355001975916807E-16</v>
      </c>
      <c r="AZ15" s="25">
        <f t="shared" si="15"/>
        <v>8.3784327372847055E-15</v>
      </c>
      <c r="BA15" s="25">
        <f t="shared" si="15"/>
        <v>7.0344263811188713E-14</v>
      </c>
      <c r="BB15" s="25">
        <f t="shared" si="15"/>
        <v>5.5365801053184667E-13</v>
      </c>
      <c r="BC15" s="25">
        <f t="shared" si="15"/>
        <v>4.0850886384261066E-12</v>
      </c>
      <c r="BD15" s="25">
        <f t="shared" si="15"/>
        <v>2.8255850125260028E-11</v>
      </c>
      <c r="BE15" s="25">
        <f t="shared" si="15"/>
        <v>1.832155243534887E-10</v>
      </c>
      <c r="BF15" s="25">
        <f t="shared" si="15"/>
        <v>1.1136870223559248E-9</v>
      </c>
      <c r="BG15" s="25">
        <f t="shared" si="15"/>
        <v>6.3461604110550961E-9</v>
      </c>
      <c r="BH15" s="25">
        <f t="shared" si="15"/>
        <v>3.3900486413656238E-8</v>
      </c>
      <c r="BI15" s="25">
        <f t="shared" si="15"/>
        <v>1.697648645457123E-7</v>
      </c>
      <c r="BJ15" s="25">
        <f t="shared" si="15"/>
        <v>7.9696030473367352E-7</v>
      </c>
      <c r="BK15" s="25">
        <f t="shared" si="15"/>
        <v>3.507297188970991E-6</v>
      </c>
      <c r="BL15" s="25">
        <f t="shared" si="15"/>
        <v>1.446956387751985E-5</v>
      </c>
      <c r="BM15" s="25">
        <f t="shared" ref="BM15:CR15" si="16">EXP(-(BM13-$E$16)*(BM13-$E$16)/(2*$E$18*$E$18))/(SQRT(2*3.14159)*$E$18)</f>
        <v>5.5960980232801903E-5</v>
      </c>
      <c r="BN15" s="25">
        <f t="shared" si="16"/>
        <v>2.0289071958066586E-4</v>
      </c>
      <c r="BO15" s="25">
        <f t="shared" si="16"/>
        <v>6.8958221050584767E-4</v>
      </c>
      <c r="BP15" s="25">
        <f t="shared" si="16"/>
        <v>2.1971358661979287E-3</v>
      </c>
      <c r="BQ15" s="25">
        <f t="shared" si="16"/>
        <v>6.5625824907405384E-3</v>
      </c>
      <c r="BR15" s="25">
        <f t="shared" si="16"/>
        <v>1.8375519875151569E-2</v>
      </c>
      <c r="BS15" s="25">
        <f t="shared" si="16"/>
        <v>4.8233801503621582E-2</v>
      </c>
      <c r="BT15" s="25">
        <f t="shared" si="16"/>
        <v>0.11868896597429286</v>
      </c>
      <c r="BU15" s="25">
        <f t="shared" si="16"/>
        <v>0.27378912779334597</v>
      </c>
      <c r="BV15" s="25">
        <f t="shared" si="16"/>
        <v>0.59206453551775462</v>
      </c>
      <c r="BW15" s="25">
        <f t="shared" si="16"/>
        <v>1.2002422068876133</v>
      </c>
      <c r="BX15" s="25">
        <f t="shared" si="16"/>
        <v>2.280949863564091</v>
      </c>
      <c r="BY15" s="25">
        <f t="shared" si="16"/>
        <v>4.0635871794885485</v>
      </c>
      <c r="BZ15" s="25">
        <f t="shared" si="16"/>
        <v>6.7865713769499285</v>
      </c>
      <c r="CA15" s="25">
        <f t="shared" si="16"/>
        <v>10.625228004326502</v>
      </c>
      <c r="CB15" s="25">
        <f t="shared" si="16"/>
        <v>15.594558824709065</v>
      </c>
      <c r="CC15" s="25">
        <f t="shared" si="16"/>
        <v>21.456304561382197</v>
      </c>
      <c r="CD15" s="25">
        <f t="shared" si="16"/>
        <v>27.674753091466091</v>
      </c>
      <c r="CE15" s="25">
        <f t="shared" si="16"/>
        <v>33.462592302722207</v>
      </c>
      <c r="CF15" s="25">
        <f t="shared" si="16"/>
        <v>37.929961942100022</v>
      </c>
      <c r="CG15" s="25">
        <f t="shared" si="16"/>
        <v>40.304378557317875</v>
      </c>
      <c r="CH15" s="25">
        <f t="shared" si="16"/>
        <v>40.148474578109088</v>
      </c>
      <c r="CI15" s="25">
        <f t="shared" si="16"/>
        <v>37.491504317429175</v>
      </c>
      <c r="CJ15" s="25">
        <f t="shared" si="16"/>
        <v>32.820385768018419</v>
      </c>
      <c r="CK15" s="25">
        <f t="shared" si="16"/>
        <v>26.934039571027046</v>
      </c>
      <c r="CL15" s="25">
        <f t="shared" si="16"/>
        <v>20.720789738809973</v>
      </c>
      <c r="CM15" s="25">
        <f t="shared" si="16"/>
        <v>14.943699000104672</v>
      </c>
      <c r="CN15" s="25">
        <f t="shared" si="16"/>
        <v>10.103152684072608</v>
      </c>
      <c r="CO15" s="25">
        <f t="shared" si="16"/>
        <v>6.4032833318812399</v>
      </c>
      <c r="CP15" s="25">
        <f t="shared" si="16"/>
        <v>3.8044818709418626</v>
      </c>
      <c r="CQ15" s="25">
        <f t="shared" si="16"/>
        <v>2.1190212725550621</v>
      </c>
      <c r="CR15" s="25">
        <f t="shared" si="16"/>
        <v>1.1064253349193218</v>
      </c>
      <c r="CS15" s="25">
        <f t="shared" ref="CS15:DQ15" si="17">EXP(-(CS13-$E$16)*(CS13-$E$16)/(2*$E$18*$E$18))/(SQRT(2*3.14159)*$E$18)</f>
        <v>0.54157162801472902</v>
      </c>
      <c r="CT15" s="25">
        <f t="shared" si="17"/>
        <v>0.24850589449237878</v>
      </c>
      <c r="CU15" s="25">
        <f t="shared" si="17"/>
        <v>0.10689674526819615</v>
      </c>
      <c r="CV15" s="25">
        <f t="shared" si="17"/>
        <v>4.3106153143309275E-2</v>
      </c>
      <c r="CW15" s="25">
        <f t="shared" si="17"/>
        <v>1.6295250845174393E-2</v>
      </c>
      <c r="CX15" s="25">
        <f t="shared" si="17"/>
        <v>5.7747053632989419E-3</v>
      </c>
      <c r="CY15" s="25">
        <f t="shared" si="17"/>
        <v>1.9184284592212533E-3</v>
      </c>
      <c r="CZ15" s="25">
        <f t="shared" si="17"/>
        <v>5.9745937987536722E-4</v>
      </c>
      <c r="DA15" s="25">
        <f t="shared" si="17"/>
        <v>1.7442878539108888E-4</v>
      </c>
      <c r="DB15" s="25">
        <f t="shared" si="17"/>
        <v>4.7739176929704088E-5</v>
      </c>
      <c r="DC15" s="25">
        <f t="shared" si="17"/>
        <v>1.2248381222379958E-5</v>
      </c>
      <c r="DD15" s="25">
        <f t="shared" si="17"/>
        <v>2.9459777367819757E-6</v>
      </c>
      <c r="DE15" s="25">
        <f t="shared" si="17"/>
        <v>6.6424336265561874E-7</v>
      </c>
      <c r="DF15" s="25">
        <f t="shared" si="17"/>
        <v>1.404015764079165E-7</v>
      </c>
      <c r="DG15" s="25">
        <f t="shared" si="17"/>
        <v>2.7820423836989072E-8</v>
      </c>
      <c r="DH15" s="25">
        <f t="shared" si="17"/>
        <v>5.167761923037912E-9</v>
      </c>
      <c r="DI15" s="25">
        <f t="shared" si="17"/>
        <v>8.9988756533560815E-10</v>
      </c>
      <c r="DJ15" s="25">
        <f t="shared" si="17"/>
        <v>1.4689973130073752E-10</v>
      </c>
      <c r="DK15" s="25">
        <f t="shared" si="17"/>
        <v>2.248022996369111E-11</v>
      </c>
      <c r="DL15" s="25">
        <f t="shared" si="17"/>
        <v>3.2249834872272512E-12</v>
      </c>
      <c r="DM15" s="25">
        <f t="shared" si="17"/>
        <v>4.3371180033611569E-13</v>
      </c>
      <c r="DN15" s="25">
        <f t="shared" si="17"/>
        <v>5.4679178266861096E-14</v>
      </c>
      <c r="DO15" s="25">
        <f t="shared" si="17"/>
        <v>6.4623387191707181E-15</v>
      </c>
      <c r="DP15" s="25">
        <f t="shared" si="17"/>
        <v>7.1598587290826153E-16</v>
      </c>
      <c r="DQ15" s="25">
        <f t="shared" si="17"/>
        <v>7.4364589799427593E-17</v>
      </c>
    </row>
    <row r="16" spans="1:121" ht="16.149999999999999" thickBot="1">
      <c r="A16" s="1"/>
      <c r="B16" s="1"/>
      <c r="C16" s="1"/>
      <c r="D16" s="29" t="s">
        <v>26</v>
      </c>
      <c r="E16" s="30">
        <f>IF(E17="","",AVERAGE(H9:L28))</f>
        <v>9.9711000000000141</v>
      </c>
      <c r="F16" s="1"/>
      <c r="G16" s="9">
        <v>8</v>
      </c>
      <c r="H16" s="21">
        <v>9.9600000000000009</v>
      </c>
      <c r="I16" s="21">
        <v>9.99</v>
      </c>
      <c r="J16" s="21">
        <v>9.9700000000000006</v>
      </c>
      <c r="K16" s="21">
        <v>9.98</v>
      </c>
      <c r="L16" s="21">
        <v>9.98</v>
      </c>
      <c r="M16" s="1"/>
      <c r="AE16" s="48"/>
      <c r="AF16" s="48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</row>
    <row r="17" spans="1:121" ht="16.899999999999999" customHeight="1">
      <c r="A17" s="1"/>
      <c r="B17" s="66" t="s">
        <v>36</v>
      </c>
      <c r="C17" s="1"/>
      <c r="D17" s="29" t="s">
        <v>27</v>
      </c>
      <c r="E17" s="31">
        <f>IF(COUNT(H9:L28)=0,"",COUNT(H9:L28))</f>
        <v>100</v>
      </c>
      <c r="F17" s="1"/>
      <c r="G17" s="9">
        <v>9</v>
      </c>
      <c r="H17" s="21">
        <v>9.9600000000000009</v>
      </c>
      <c r="I17" s="21">
        <v>9.9700000000000006</v>
      </c>
      <c r="J17" s="21">
        <v>9.98</v>
      </c>
      <c r="K17" s="21">
        <v>9.9600000000000009</v>
      </c>
      <c r="L17" s="21">
        <v>9.9700000000000006</v>
      </c>
      <c r="M17" s="1"/>
      <c r="AE17" s="55"/>
      <c r="AF17" s="55"/>
      <c r="BZ17" s="32"/>
    </row>
    <row r="18" spans="1:121" ht="16.899999999999999" customHeight="1">
      <c r="A18" s="1"/>
      <c r="B18" s="14">
        <v>9.9499999999999993</v>
      </c>
      <c r="C18" s="1"/>
      <c r="D18" s="29" t="s">
        <v>35</v>
      </c>
      <c r="E18" s="30">
        <f>IF(ISERROR(STDEV(H9:L28)),"",STDEV(H9:L28))</f>
        <v>9.836542876314398E-3</v>
      </c>
      <c r="F18" s="1"/>
      <c r="G18" s="9">
        <v>10</v>
      </c>
      <c r="H18" s="21">
        <v>9.9600000000000009</v>
      </c>
      <c r="I18" s="21">
        <v>9.99</v>
      </c>
      <c r="J18" s="21">
        <v>9.9700000000000006</v>
      </c>
      <c r="K18" s="21">
        <v>9.98</v>
      </c>
      <c r="L18" s="21">
        <v>9.98</v>
      </c>
      <c r="M18" s="1"/>
      <c r="AG18" s="32">
        <f t="shared" ref="AG18:CR18" si="18">$BY$11-AG15</f>
        <v>40.557180902268513</v>
      </c>
      <c r="AH18" s="32">
        <f t="shared" si="18"/>
        <v>40.557180902268513</v>
      </c>
      <c r="AI18" s="32">
        <f t="shared" si="18"/>
        <v>40.557180902268513</v>
      </c>
      <c r="AJ18" s="32">
        <f t="shared" si="18"/>
        <v>40.557180902268513</v>
      </c>
      <c r="AK18" s="32">
        <f t="shared" si="18"/>
        <v>40.557180902268513</v>
      </c>
      <c r="AL18" s="32">
        <f t="shared" si="18"/>
        <v>40.557180902268513</v>
      </c>
      <c r="AM18" s="32">
        <f t="shared" si="18"/>
        <v>40.557180902268513</v>
      </c>
      <c r="AN18" s="32">
        <f t="shared" si="18"/>
        <v>40.557180902268513</v>
      </c>
      <c r="AO18" s="32">
        <f t="shared" si="18"/>
        <v>40.557180902268513</v>
      </c>
      <c r="AP18" s="32">
        <f t="shared" si="18"/>
        <v>40.557180902268513</v>
      </c>
      <c r="AQ18" s="32">
        <f t="shared" si="18"/>
        <v>40.557180902268513</v>
      </c>
      <c r="AR18" s="32">
        <f t="shared" si="18"/>
        <v>40.557180902268513</v>
      </c>
      <c r="AS18" s="32">
        <f t="shared" si="18"/>
        <v>40.557180902268513</v>
      </c>
      <c r="AT18" s="32">
        <f t="shared" si="18"/>
        <v>40.557180902268513</v>
      </c>
      <c r="AU18" s="32">
        <f t="shared" si="18"/>
        <v>40.557180902268513</v>
      </c>
      <c r="AV18" s="32">
        <f t="shared" si="18"/>
        <v>40.557180902268513</v>
      </c>
      <c r="AW18" s="32">
        <f t="shared" si="18"/>
        <v>40.557180902268513</v>
      </c>
      <c r="AX18" s="32">
        <f t="shared" si="18"/>
        <v>40.557180902268513</v>
      </c>
      <c r="AY18" s="32">
        <f t="shared" si="18"/>
        <v>40.557180902268513</v>
      </c>
      <c r="AZ18" s="32">
        <f t="shared" si="18"/>
        <v>40.557180902268506</v>
      </c>
      <c r="BA18" s="32">
        <f t="shared" si="18"/>
        <v>40.557180902268442</v>
      </c>
      <c r="BB18" s="32">
        <f t="shared" si="18"/>
        <v>40.557180902267959</v>
      </c>
      <c r="BC18" s="32">
        <f t="shared" si="18"/>
        <v>40.557180902264427</v>
      </c>
      <c r="BD18" s="32">
        <f t="shared" si="18"/>
        <v>40.557180902240255</v>
      </c>
      <c r="BE18" s="32">
        <f t="shared" si="18"/>
        <v>40.5571809020853</v>
      </c>
      <c r="BF18" s="32">
        <f t="shared" si="18"/>
        <v>40.557180901154823</v>
      </c>
      <c r="BG18" s="32">
        <f t="shared" si="18"/>
        <v>40.55718089592235</v>
      </c>
      <c r="BH18" s="32">
        <f t="shared" si="18"/>
        <v>40.557180868368029</v>
      </c>
      <c r="BI18" s="32">
        <f t="shared" si="18"/>
        <v>40.557180732503646</v>
      </c>
      <c r="BJ18" s="32">
        <f t="shared" si="18"/>
        <v>40.557180105308205</v>
      </c>
      <c r="BK18" s="32">
        <f t="shared" si="18"/>
        <v>40.557177394971326</v>
      </c>
      <c r="BL18" s="32">
        <f t="shared" si="18"/>
        <v>40.557166432704634</v>
      </c>
      <c r="BM18" s="32">
        <f t="shared" si="18"/>
        <v>40.557124941288279</v>
      </c>
      <c r="BN18" s="32">
        <f t="shared" si="18"/>
        <v>40.556978011548935</v>
      </c>
      <c r="BO18" s="32">
        <f t="shared" si="18"/>
        <v>40.556491320058008</v>
      </c>
      <c r="BP18" s="32">
        <f t="shared" si="18"/>
        <v>40.554983766402316</v>
      </c>
      <c r="BQ18" s="32">
        <f t="shared" si="18"/>
        <v>40.550618319777776</v>
      </c>
      <c r="BR18" s="32">
        <f t="shared" si="18"/>
        <v>40.538805382393363</v>
      </c>
      <c r="BS18" s="32">
        <f t="shared" si="18"/>
        <v>40.508947100764892</v>
      </c>
      <c r="BT18" s="32">
        <f t="shared" si="18"/>
        <v>40.43849193629422</v>
      </c>
      <c r="BU18" s="32">
        <f t="shared" si="18"/>
        <v>40.28339177447517</v>
      </c>
      <c r="BV18" s="32">
        <f t="shared" si="18"/>
        <v>39.965116366750756</v>
      </c>
      <c r="BW18" s="32">
        <f t="shared" si="18"/>
        <v>39.356938695380897</v>
      </c>
      <c r="BX18" s="32">
        <f t="shared" si="18"/>
        <v>38.276231038704424</v>
      </c>
      <c r="BY18" s="32">
        <f t="shared" si="18"/>
        <v>36.493593722779963</v>
      </c>
      <c r="BZ18" s="32">
        <f t="shared" si="18"/>
        <v>33.770609525318584</v>
      </c>
      <c r="CA18" s="32">
        <f t="shared" si="18"/>
        <v>29.931952897942011</v>
      </c>
      <c r="CB18" s="32">
        <f t="shared" si="18"/>
        <v>24.962622077559448</v>
      </c>
      <c r="CC18" s="32">
        <f t="shared" si="18"/>
        <v>19.100876340886316</v>
      </c>
      <c r="CD18" s="32">
        <f t="shared" si="18"/>
        <v>12.882427810802422</v>
      </c>
      <c r="CE18" s="32">
        <f t="shared" si="18"/>
        <v>7.0945885995463058</v>
      </c>
      <c r="CF18" s="32">
        <f t="shared" si="18"/>
        <v>2.6272189601684914</v>
      </c>
      <c r="CG18" s="32">
        <f t="shared" si="18"/>
        <v>0.2528023449506378</v>
      </c>
      <c r="CH18" s="32">
        <f t="shared" si="18"/>
        <v>0.40870632415942509</v>
      </c>
      <c r="CI18" s="32">
        <f t="shared" si="18"/>
        <v>3.0656765848393377</v>
      </c>
      <c r="CJ18" s="32">
        <f t="shared" si="18"/>
        <v>7.7367951342500945</v>
      </c>
      <c r="CK18" s="32">
        <f t="shared" si="18"/>
        <v>13.623141331241467</v>
      </c>
      <c r="CL18" s="32">
        <f t="shared" si="18"/>
        <v>19.83639116345854</v>
      </c>
      <c r="CM18" s="32">
        <f t="shared" si="18"/>
        <v>25.613481902163841</v>
      </c>
      <c r="CN18" s="32">
        <f t="shared" si="18"/>
        <v>30.454028218195905</v>
      </c>
      <c r="CO18" s="32">
        <f t="shared" si="18"/>
        <v>34.153897570387272</v>
      </c>
      <c r="CP18" s="32">
        <f t="shared" si="18"/>
        <v>36.75269903132665</v>
      </c>
      <c r="CQ18" s="32">
        <f t="shared" si="18"/>
        <v>38.438159629713454</v>
      </c>
      <c r="CR18" s="32">
        <f t="shared" si="18"/>
        <v>39.450755567349191</v>
      </c>
      <c r="CS18" s="32">
        <f t="shared" ref="CS18:DQ18" si="19">$BY$11-CS15</f>
        <v>40.015609274253784</v>
      </c>
      <c r="CT18" s="32">
        <f t="shared" si="19"/>
        <v>40.308675007776131</v>
      </c>
      <c r="CU18" s="32">
        <f t="shared" si="19"/>
        <v>40.450284157000318</v>
      </c>
      <c r="CV18" s="32">
        <f t="shared" si="19"/>
        <v>40.514074749125207</v>
      </c>
      <c r="CW18" s="32">
        <f t="shared" si="19"/>
        <v>40.540885651423338</v>
      </c>
      <c r="CX18" s="32">
        <f t="shared" si="19"/>
        <v>40.551406196905212</v>
      </c>
      <c r="CY18" s="32">
        <f t="shared" si="19"/>
        <v>40.555262473809293</v>
      </c>
      <c r="CZ18" s="32">
        <f t="shared" si="19"/>
        <v>40.556583442888638</v>
      </c>
      <c r="DA18" s="32">
        <f t="shared" si="19"/>
        <v>40.557006473483121</v>
      </c>
      <c r="DB18" s="32">
        <f t="shared" si="19"/>
        <v>40.557133163091585</v>
      </c>
      <c r="DC18" s="32">
        <f t="shared" si="19"/>
        <v>40.557168653887288</v>
      </c>
      <c r="DD18" s="32">
        <f t="shared" si="19"/>
        <v>40.557177956290779</v>
      </c>
      <c r="DE18" s="32">
        <f t="shared" si="19"/>
        <v>40.557180238025147</v>
      </c>
      <c r="DF18" s="32">
        <f t="shared" si="19"/>
        <v>40.557180761866938</v>
      </c>
      <c r="DG18" s="32">
        <f t="shared" si="19"/>
        <v>40.557180874448086</v>
      </c>
      <c r="DH18" s="32">
        <f t="shared" si="19"/>
        <v>40.55718089710075</v>
      </c>
      <c r="DI18" s="32">
        <f t="shared" si="19"/>
        <v>40.557180901368625</v>
      </c>
      <c r="DJ18" s="32">
        <f t="shared" si="19"/>
        <v>40.557180902121615</v>
      </c>
      <c r="DK18" s="32">
        <f t="shared" si="19"/>
        <v>40.557180902246031</v>
      </c>
      <c r="DL18" s="32">
        <f t="shared" si="19"/>
        <v>40.557180902265287</v>
      </c>
      <c r="DM18" s="32">
        <f t="shared" si="19"/>
        <v>40.55718090226808</v>
      </c>
      <c r="DN18" s="32">
        <f t="shared" si="19"/>
        <v>40.557180902268456</v>
      </c>
      <c r="DO18" s="32">
        <f t="shared" si="19"/>
        <v>40.557180902268506</v>
      </c>
      <c r="DP18" s="32">
        <f t="shared" si="19"/>
        <v>40.557180902268513</v>
      </c>
      <c r="DQ18" s="32">
        <f t="shared" si="19"/>
        <v>40.557180902268513</v>
      </c>
    </row>
    <row r="19" spans="1:121" ht="16.899999999999999" customHeight="1">
      <c r="A19" s="1"/>
      <c r="B19" s="66" t="s">
        <v>38</v>
      </c>
      <c r="C19" s="1"/>
      <c r="D19" s="1"/>
      <c r="E19" s="4"/>
      <c r="F19" s="1"/>
      <c r="G19" s="9">
        <v>11</v>
      </c>
      <c r="H19" s="21">
        <v>9.9700000000000006</v>
      </c>
      <c r="I19" s="21">
        <v>9.9700000000000006</v>
      </c>
      <c r="J19" s="21">
        <v>9.9600000000000009</v>
      </c>
      <c r="K19" s="21">
        <v>9.98</v>
      </c>
      <c r="L19" s="21">
        <v>9.9600000000000009</v>
      </c>
      <c r="M19" s="1"/>
      <c r="AC19" s="3" t="s">
        <v>6</v>
      </c>
      <c r="AD19" s="3">
        <f>IF(B10=1,(E10-E11)/80,IF(B10=2,(E10-E14)/40,(E14-E11)/40))</f>
        <v>2.5000000000000356E-3</v>
      </c>
    </row>
    <row r="20" spans="1:121" ht="16.899999999999999" customHeight="1">
      <c r="A20" s="1"/>
      <c r="B20" s="14">
        <v>0.1</v>
      </c>
      <c r="C20" s="1"/>
      <c r="D20" s="33" t="s">
        <v>34</v>
      </c>
      <c r="E20" s="34">
        <f>IF(E16="","",ABS(E14-E16))</f>
        <v>2.1100000000014774E-2</v>
      </c>
      <c r="F20" s="1"/>
      <c r="G20" s="9">
        <v>12</v>
      </c>
      <c r="H20" s="21">
        <v>9.9700000000000006</v>
      </c>
      <c r="I20" s="21">
        <v>9.98</v>
      </c>
      <c r="J20" s="21">
        <v>9.99</v>
      </c>
      <c r="K20" s="21">
        <v>9.9600000000000009</v>
      </c>
      <c r="L20" s="21">
        <v>9.9600000000000009</v>
      </c>
      <c r="M20" s="1"/>
      <c r="CU20" s="32">
        <f>MIN(AG18:DQ18)</f>
        <v>0.2528023449506378</v>
      </c>
    </row>
    <row r="21" spans="1:121" ht="16.899999999999999" customHeight="1">
      <c r="A21" s="1"/>
      <c r="B21" s="65" t="s">
        <v>37</v>
      </c>
      <c r="C21" s="1"/>
      <c r="D21" s="35" t="s">
        <v>33</v>
      </c>
      <c r="E21" s="36">
        <f>IF(E20="","",2*E20/E13)</f>
        <v>0.42200000000029547</v>
      </c>
      <c r="F21" s="1"/>
      <c r="G21" s="9">
        <v>13</v>
      </c>
      <c r="H21" s="21">
        <v>9.9600000000000009</v>
      </c>
      <c r="I21" s="21">
        <v>9.99</v>
      </c>
      <c r="J21" s="21">
        <v>9.9700000000000006</v>
      </c>
      <c r="K21" s="21">
        <v>9.98</v>
      </c>
      <c r="L21" s="21">
        <v>9.98</v>
      </c>
      <c r="M21" s="1"/>
    </row>
    <row r="22" spans="1:121" ht="16.899999999999999" customHeight="1">
      <c r="A22" s="1"/>
      <c r="B22" s="14">
        <v>0</v>
      </c>
      <c r="C22" s="1"/>
      <c r="D22" s="1"/>
      <c r="E22" s="4"/>
      <c r="F22" s="1"/>
      <c r="G22" s="9">
        <v>14</v>
      </c>
      <c r="H22" s="21">
        <v>9.9600000000000009</v>
      </c>
      <c r="I22" s="21">
        <v>9.9700000000000006</v>
      </c>
      <c r="J22" s="21">
        <v>9.98</v>
      </c>
      <c r="K22" s="21">
        <v>9.9600000000000009</v>
      </c>
      <c r="L22" s="21">
        <v>9.9700000000000006</v>
      </c>
      <c r="M22" s="1"/>
    </row>
    <row r="23" spans="1:121">
      <c r="A23" s="1"/>
      <c r="B23" s="1"/>
      <c r="C23" s="1"/>
      <c r="D23" s="37" t="s">
        <v>28</v>
      </c>
      <c r="E23" s="38">
        <f>IF(COUNTBLANK(H9:L28)=100,"",MAX(H9:L28))</f>
        <v>9.99</v>
      </c>
      <c r="F23" s="1"/>
      <c r="G23" s="9">
        <v>15</v>
      </c>
      <c r="H23" s="21">
        <v>9.9600000000000009</v>
      </c>
      <c r="I23" s="21">
        <v>9.9700000000000006</v>
      </c>
      <c r="J23" s="21">
        <v>9.98</v>
      </c>
      <c r="K23" s="21">
        <v>9.9600000000000009</v>
      </c>
      <c r="L23" s="21">
        <v>9.9700000000000006</v>
      </c>
      <c r="M23" s="1"/>
    </row>
    <row r="24" spans="1:121">
      <c r="A24" s="1"/>
      <c r="B24" s="1"/>
      <c r="C24" s="1"/>
      <c r="D24" s="39" t="s">
        <v>29</v>
      </c>
      <c r="E24" s="40">
        <f>IF(COUNTBLANK(H9:L28)=100,"",MIN(H9:L28))</f>
        <v>9.9600000000000009</v>
      </c>
      <c r="F24" s="1"/>
      <c r="G24" s="9">
        <v>16</v>
      </c>
      <c r="H24" s="21">
        <v>9.9600000000000009</v>
      </c>
      <c r="I24" s="21">
        <v>9.99</v>
      </c>
      <c r="J24" s="21">
        <v>9.9700000000000006</v>
      </c>
      <c r="K24" s="21">
        <v>9.98</v>
      </c>
      <c r="L24" s="21">
        <v>9.98</v>
      </c>
      <c r="M24" s="1"/>
      <c r="AF24" s="15"/>
    </row>
    <row r="25" spans="1:121">
      <c r="A25" s="1"/>
      <c r="B25" s="1"/>
      <c r="C25" s="1"/>
      <c r="D25" s="1"/>
      <c r="E25" s="4"/>
      <c r="F25" s="1"/>
      <c r="G25" s="9">
        <v>17</v>
      </c>
      <c r="H25" s="21">
        <v>9.9700000000000006</v>
      </c>
      <c r="I25" s="21">
        <v>9.9700000000000006</v>
      </c>
      <c r="J25" s="21">
        <v>9.9600000000000009</v>
      </c>
      <c r="K25" s="21">
        <v>9.98</v>
      </c>
      <c r="L25" s="21">
        <v>9.9600000000000009</v>
      </c>
      <c r="M25" s="1"/>
    </row>
    <row r="26" spans="1:121">
      <c r="A26" s="1"/>
      <c r="B26" s="1"/>
      <c r="C26" s="1"/>
      <c r="D26" s="6" t="s">
        <v>30</v>
      </c>
      <c r="E26" s="41">
        <f>IF(E17="","",IF(B10=1,E27+E28,IF(B10=2,E27,E28)))</f>
        <v>5.5511151231257827E-16</v>
      </c>
      <c r="F26" s="1"/>
      <c r="G26" s="9">
        <v>18</v>
      </c>
      <c r="H26" s="21">
        <v>9.9600000000000009</v>
      </c>
      <c r="I26" s="21">
        <v>9.9700000000000006</v>
      </c>
      <c r="J26" s="21">
        <v>9.98</v>
      </c>
      <c r="K26" s="21">
        <v>9.9600000000000009</v>
      </c>
      <c r="L26" s="21">
        <v>9.9700000000000006</v>
      </c>
      <c r="M26" s="1"/>
    </row>
    <row r="27" spans="1:121">
      <c r="A27" s="1"/>
      <c r="B27" s="1"/>
      <c r="C27" s="1"/>
      <c r="D27" s="6" t="s">
        <v>31</v>
      </c>
      <c r="E27" s="41">
        <f>IF(E17="","",1-NORMSDIST((E10-E16)/E18))</f>
        <v>5.5511151231257827E-16</v>
      </c>
      <c r="F27" s="1"/>
      <c r="G27" s="9">
        <v>19</v>
      </c>
      <c r="H27" s="21">
        <v>9.9600000000000009</v>
      </c>
      <c r="I27" s="21">
        <v>9.99</v>
      </c>
      <c r="J27" s="21">
        <v>9.9700000000000006</v>
      </c>
      <c r="K27" s="21">
        <v>9.98</v>
      </c>
      <c r="L27" s="21">
        <v>9.98</v>
      </c>
      <c r="M27" s="1"/>
    </row>
    <row r="28" spans="1:121">
      <c r="A28" s="1"/>
      <c r="B28" s="1"/>
      <c r="C28" s="1"/>
      <c r="D28" s="6" t="s">
        <v>32</v>
      </c>
      <c r="E28" s="41">
        <f>IF(E17="","",NORMSDIST((E11-E16)/E18))</f>
        <v>1.597392206684755E-2</v>
      </c>
      <c r="F28" s="1"/>
      <c r="G28" s="16">
        <v>20</v>
      </c>
      <c r="H28" s="21">
        <v>9.9600000000000009</v>
      </c>
      <c r="I28" s="21">
        <v>9.9700000000000006</v>
      </c>
      <c r="J28" s="21">
        <v>9.98</v>
      </c>
      <c r="K28" s="21">
        <v>9.9600000000000009</v>
      </c>
      <c r="L28" s="21">
        <v>9.9700000000000006</v>
      </c>
      <c r="M28" s="1"/>
    </row>
    <row r="29" spans="1:121" ht="16.5" customHeight="1">
      <c r="A29" s="1"/>
      <c r="B29" s="1"/>
      <c r="C29" s="1"/>
      <c r="D29" s="1"/>
      <c r="E29" s="4"/>
      <c r="F29" s="1"/>
      <c r="G29" s="1"/>
      <c r="H29" s="1"/>
      <c r="I29" s="1"/>
      <c r="J29" s="1"/>
      <c r="K29" s="1"/>
      <c r="L29" s="1"/>
      <c r="M29" s="1"/>
    </row>
    <row r="30" spans="1:121">
      <c r="A30" s="1"/>
      <c r="B30" s="1"/>
      <c r="C30" s="1"/>
      <c r="D30" s="1"/>
      <c r="E30" s="4"/>
      <c r="F30" s="1"/>
      <c r="G30" s="1"/>
      <c r="H30" s="1"/>
      <c r="I30" s="1"/>
      <c r="J30" s="1"/>
      <c r="K30" s="1"/>
      <c r="L30" s="1"/>
      <c r="M30" s="1"/>
      <c r="P30" s="3">
        <v>1</v>
      </c>
      <c r="Q30" s="3">
        <v>2</v>
      </c>
      <c r="R30" s="3">
        <v>3</v>
      </c>
      <c r="S30" s="3">
        <v>4</v>
      </c>
      <c r="T30" s="3">
        <v>5</v>
      </c>
      <c r="U30" s="3">
        <v>6</v>
      </c>
      <c r="V30" s="3">
        <v>7</v>
      </c>
      <c r="W30" s="3">
        <v>8</v>
      </c>
      <c r="X30" s="3">
        <v>9</v>
      </c>
      <c r="Y30" s="3">
        <v>10</v>
      </c>
      <c r="Z30" s="3">
        <v>11</v>
      </c>
      <c r="AA30" s="3">
        <v>12</v>
      </c>
      <c r="AB30" s="3">
        <v>13</v>
      </c>
      <c r="AC30" s="3">
        <v>14</v>
      </c>
      <c r="AD30" s="3">
        <v>15</v>
      </c>
      <c r="AE30" s="3">
        <v>16</v>
      </c>
      <c r="AF30" s="3">
        <v>17</v>
      </c>
      <c r="AG30" s="3">
        <v>18</v>
      </c>
      <c r="AH30" s="3">
        <v>19</v>
      </c>
      <c r="AI30" s="3">
        <v>20</v>
      </c>
      <c r="AJ30" s="3">
        <v>21</v>
      </c>
      <c r="AK30" s="3">
        <v>22</v>
      </c>
      <c r="AL30" s="3">
        <v>23</v>
      </c>
      <c r="AM30" s="3">
        <v>24</v>
      </c>
      <c r="AN30" s="3">
        <v>25</v>
      </c>
      <c r="AO30" s="3">
        <v>26</v>
      </c>
      <c r="AP30" s="3">
        <v>27</v>
      </c>
      <c r="AQ30" s="3">
        <v>28</v>
      </c>
      <c r="AR30" s="3">
        <v>29</v>
      </c>
      <c r="AS30" s="3">
        <v>30</v>
      </c>
      <c r="AT30" s="3">
        <v>31</v>
      </c>
      <c r="AU30" s="3">
        <v>32</v>
      </c>
      <c r="AV30" s="3">
        <v>33</v>
      </c>
      <c r="AW30" s="3">
        <v>34</v>
      </c>
      <c r="AX30" s="3">
        <v>35</v>
      </c>
      <c r="AY30" s="3">
        <v>36</v>
      </c>
      <c r="AZ30" s="3">
        <v>37</v>
      </c>
      <c r="BA30" s="3">
        <v>38</v>
      </c>
      <c r="BB30" s="3">
        <v>39</v>
      </c>
      <c r="BC30" s="3">
        <v>40</v>
      </c>
      <c r="BD30" s="3">
        <v>41</v>
      </c>
      <c r="BE30" s="3">
        <v>42</v>
      </c>
      <c r="BF30" s="3">
        <v>43</v>
      </c>
      <c r="BG30" s="3">
        <v>44</v>
      </c>
      <c r="BH30" s="3">
        <v>45</v>
      </c>
      <c r="BI30" s="3">
        <v>46</v>
      </c>
      <c r="BJ30" s="3">
        <v>47</v>
      </c>
      <c r="BK30" s="3">
        <v>48</v>
      </c>
      <c r="BL30" s="3">
        <v>49</v>
      </c>
      <c r="BM30" s="3">
        <v>50</v>
      </c>
      <c r="BN30" s="3">
        <v>51</v>
      </c>
      <c r="BO30" s="3">
        <v>52</v>
      </c>
      <c r="BP30" s="3">
        <v>53</v>
      </c>
      <c r="BQ30" s="3">
        <v>54</v>
      </c>
      <c r="BR30" s="3">
        <v>55</v>
      </c>
      <c r="BS30" s="3">
        <v>56</v>
      </c>
      <c r="BT30" s="3">
        <v>57</v>
      </c>
      <c r="BU30" s="3">
        <v>58</v>
      </c>
      <c r="BV30" s="3">
        <v>59</v>
      </c>
      <c r="BW30" s="3">
        <v>60</v>
      </c>
      <c r="BX30" s="3">
        <v>61</v>
      </c>
      <c r="BY30" s="3">
        <v>62</v>
      </c>
      <c r="BZ30" s="3">
        <v>63</v>
      </c>
      <c r="CA30" s="3">
        <v>64</v>
      </c>
      <c r="CB30" s="3">
        <v>65</v>
      </c>
      <c r="CC30" s="3">
        <v>66</v>
      </c>
      <c r="CD30" s="3">
        <v>67</v>
      </c>
      <c r="CE30" s="3">
        <v>68</v>
      </c>
      <c r="CF30" s="3">
        <v>69</v>
      </c>
      <c r="CG30" s="3">
        <v>70</v>
      </c>
      <c r="CH30" s="3">
        <v>71</v>
      </c>
      <c r="CI30" s="3">
        <v>72</v>
      </c>
      <c r="CJ30" s="3">
        <v>73</v>
      </c>
      <c r="CK30" s="3">
        <v>74</v>
      </c>
      <c r="CL30" s="3">
        <v>75</v>
      </c>
      <c r="CM30" s="3">
        <v>76</v>
      </c>
      <c r="CN30" s="3">
        <v>77</v>
      </c>
      <c r="CO30" s="3">
        <v>78</v>
      </c>
      <c r="CP30" s="3">
        <v>79</v>
      </c>
      <c r="CQ30" s="3">
        <v>80</v>
      </c>
      <c r="CR30" s="3">
        <v>81</v>
      </c>
      <c r="CS30" s="3">
        <v>82</v>
      </c>
      <c r="CT30" s="3">
        <v>83</v>
      </c>
      <c r="CU30" s="3">
        <v>84</v>
      </c>
      <c r="CV30" s="3">
        <v>85</v>
      </c>
      <c r="CW30" s="3">
        <v>86</v>
      </c>
      <c r="CX30" s="3">
        <v>87</v>
      </c>
      <c r="CY30" s="3">
        <v>88</v>
      </c>
      <c r="CZ30" s="3">
        <v>89</v>
      </c>
      <c r="DA30" s="3">
        <v>90</v>
      </c>
      <c r="DB30" s="3">
        <v>91</v>
      </c>
      <c r="DC30" s="3">
        <v>92</v>
      </c>
      <c r="DD30" s="3">
        <v>93</v>
      </c>
      <c r="DE30" s="3">
        <v>94</v>
      </c>
      <c r="DF30" s="3">
        <v>95</v>
      </c>
      <c r="DG30" s="3">
        <v>96</v>
      </c>
      <c r="DH30" s="3">
        <v>97</v>
      </c>
      <c r="DI30" s="3">
        <v>98</v>
      </c>
      <c r="DJ30" s="3">
        <v>99</v>
      </c>
      <c r="DK30" s="3">
        <v>100</v>
      </c>
    </row>
    <row r="31" spans="1:121">
      <c r="P31" s="42">
        <f>IF(H9="","",H9)</f>
        <v>9.9700000000000006</v>
      </c>
      <c r="Q31" s="42">
        <f>IF($P$31="","",IF(I9="",$E$11-0.01,I9))</f>
        <v>9.9600000000000009</v>
      </c>
      <c r="R31" s="42">
        <f>IF($P$31="","",IF(J9="",$E$11-0.01,J9))</f>
        <v>9.9700000000000006</v>
      </c>
      <c r="S31" s="42">
        <f>IF($P$31="","",IF(K9="",$E$11-0.01,K9))</f>
        <v>9.98</v>
      </c>
      <c r="T31" s="42">
        <f>IF($P$31="","",IF(L9="",$E$11-0.01,L9))</f>
        <v>9.9600000000000009</v>
      </c>
      <c r="U31" s="42">
        <f>IF($P$31="","",IF(H10="",$E$11-0.01,H10))</f>
        <v>9.98</v>
      </c>
      <c r="V31" s="42">
        <f>IF($P$31="","",IF(I10="",$E$11-0.01,I10))</f>
        <v>9.98</v>
      </c>
      <c r="W31" s="42">
        <f>IF($P$31="","",IF(J10="",$E$11-0.01,J10))</f>
        <v>9.9600000000000009</v>
      </c>
      <c r="X31" s="42">
        <f>IF($P$31="","",IF(K10="",$E$11-0.01,K10))</f>
        <v>9.9600000000000009</v>
      </c>
      <c r="Y31" s="42">
        <f>IF($P$31="","",IF(L10="",$E$11-0.01,L10))</f>
        <v>9.99</v>
      </c>
      <c r="Z31" s="42">
        <f>IF($P$31="","",IF(H11="",$E$11-0.01,H11))</f>
        <v>9.9600000000000009</v>
      </c>
      <c r="AA31" s="42">
        <f>IF($P$31="","",IF(I11="",$E$11-0.01,I11))</f>
        <v>9.9700000000000006</v>
      </c>
      <c r="AB31" s="42">
        <f>IF($P$31="","",IF(J11="",$E$11-0.01,J11))</f>
        <v>9.98</v>
      </c>
      <c r="AC31" s="42">
        <f>IF($P$31="","",IF(K11="",$E$11-0.01,K11))</f>
        <v>9.9600000000000009</v>
      </c>
      <c r="AD31" s="42">
        <f>IF($P$31="","",IF(L11="",$E$11-0.01,L11))</f>
        <v>9.9700000000000006</v>
      </c>
      <c r="AE31" s="42">
        <f>IF($P$31="","",IF(H12="",$E$11-0.01,H12))</f>
        <v>9.9700000000000006</v>
      </c>
      <c r="AF31" s="42">
        <f>IF($P$31="","",IF(I12="",$E$11-0.01,I12))</f>
        <v>9.9700000000000006</v>
      </c>
      <c r="AG31" s="42">
        <f>IF($P$31="","",IF(J12="",$E$11-0.01,J12))</f>
        <v>9.9600000000000009</v>
      </c>
      <c r="AH31" s="42">
        <f>IF($P$31="","",IF(K12="",$E$11-0.01,K12))</f>
        <v>9.98</v>
      </c>
      <c r="AI31" s="42">
        <f>IF($P$31="","",IF(L12="",$E$11-0.01,L12))</f>
        <v>9.9600000000000009</v>
      </c>
      <c r="AJ31" s="42">
        <f>IF($P$31="","",IF(H13="",$E$11-0.01,H13))</f>
        <v>9.9700000000000006</v>
      </c>
      <c r="AK31" s="42">
        <f>IF($P$31="","",IF(I13="",$E$11-0.01,I13))</f>
        <v>9.98</v>
      </c>
      <c r="AL31" s="42">
        <f>IF($P$31="","",IF(J13="",$E$11-0.01,J13))</f>
        <v>9.99</v>
      </c>
      <c r="AM31" s="42">
        <f>IF($P$31="","",IF(K13="",$E$11-0.01,K13))</f>
        <v>9.9600000000000009</v>
      </c>
      <c r="AN31" s="42">
        <f>IF($P$31="","",IF(L13="",$E$11-0.01,L13))</f>
        <v>9.9600000000000009</v>
      </c>
      <c r="AO31" s="42">
        <f>IF($P$31="","",IF(H14="",$E$11-0.01,H14))</f>
        <v>9.9600000000000009</v>
      </c>
      <c r="AP31" s="42">
        <f>IF($P$31="","",IF(I14="",$E$11-0.01,I14))</f>
        <v>9.99</v>
      </c>
      <c r="AQ31" s="42">
        <f>IF($P$31="","",IF(J14="",$E$11-0.01,J14))</f>
        <v>9.9700000000000006</v>
      </c>
      <c r="AR31" s="42">
        <f>IF($P$31="","",IF(K14="",$E$11-0.01,K14))</f>
        <v>9.98</v>
      </c>
      <c r="AS31" s="42">
        <f>IF($P$31="","",IF(L14="",$E$11-0.01,L14))</f>
        <v>9.98</v>
      </c>
      <c r="AT31" s="42">
        <f>IF($P$31="","",IF(H15="",$E$11-0.01,H15))</f>
        <v>9.9600000000000009</v>
      </c>
      <c r="AU31" s="42">
        <f>IF($P$31="","",IF(I15="",$E$11-0.01,I15))</f>
        <v>9.9700000000000006</v>
      </c>
      <c r="AV31" s="42">
        <f>IF($P$31="","",IF(J15="",$E$11-0.01,J15))</f>
        <v>9.98</v>
      </c>
      <c r="AW31" s="42">
        <f>IF($P$31="","",IF(K15="",$E$11-0.01,K15))</f>
        <v>9.9600000000000009</v>
      </c>
      <c r="AX31" s="42">
        <f>IF($P$31="","",IF(L15="",$E$11-0.01,L15))</f>
        <v>9.9700000000000006</v>
      </c>
      <c r="AY31" s="42">
        <f>IF($P$31="","",IF(H16="",$E$11-0.01,H16))</f>
        <v>9.9600000000000009</v>
      </c>
      <c r="AZ31" s="42">
        <f>IF($P$31="","",IF(I16="",$E$11-0.01,I16))</f>
        <v>9.99</v>
      </c>
      <c r="BA31" s="42">
        <f>IF($P$31="","",IF(J16="",$E$11-0.01,J16))</f>
        <v>9.9700000000000006</v>
      </c>
      <c r="BB31" s="42">
        <f>IF($P$31="","",IF(K16="",$E$11-0.01,K16))</f>
        <v>9.98</v>
      </c>
      <c r="BC31" s="42">
        <f>IF($P$31="","",IF(L16="",$E$11-0.01,L16))</f>
        <v>9.98</v>
      </c>
      <c r="BD31" s="42">
        <f>IF($P$31="","",IF(H17="",$E$11-0.01,H17))</f>
        <v>9.9600000000000009</v>
      </c>
      <c r="BE31" s="42">
        <f>IF($P$31="","",IF(I17="",$E$11-0.01,I17))</f>
        <v>9.9700000000000006</v>
      </c>
      <c r="BF31" s="42">
        <f>IF($P$31="","",IF(J17="",$E$11-0.01,J17))</f>
        <v>9.98</v>
      </c>
      <c r="BG31" s="42">
        <f>IF($P$31="","",IF(K17="",$E$11-0.01,K17))</f>
        <v>9.9600000000000009</v>
      </c>
      <c r="BH31" s="42">
        <f>IF($P$31="","",IF(L17="",$E$11-0.01,L17))</f>
        <v>9.9700000000000006</v>
      </c>
      <c r="BI31" s="42">
        <f>IF($P$31="","",IF(H18="",$E$11-0.01,H18))</f>
        <v>9.9600000000000009</v>
      </c>
      <c r="BJ31" s="42">
        <f>IF($P$31="","",IF(I18="",$E$11-0.01,I18))</f>
        <v>9.99</v>
      </c>
      <c r="BK31" s="42">
        <f>IF($P$31="","",IF(J18="",$E$11-0.01,J18))</f>
        <v>9.9700000000000006</v>
      </c>
      <c r="BL31" s="42">
        <f>IF($P$31="","",IF(K18="",$E$11-0.01,K18))</f>
        <v>9.98</v>
      </c>
      <c r="BM31" s="42">
        <f>IF($P$31="","",IF(L18="",$E$11-0.01,L18))</f>
        <v>9.98</v>
      </c>
      <c r="BN31" s="42">
        <f>IF($P$31="","",IF(H19="",$E$11-0.01,H19))</f>
        <v>9.9700000000000006</v>
      </c>
      <c r="BO31" s="42">
        <f>IF($P$31="","",IF(I19="",$E$11-0.01,I19))</f>
        <v>9.9700000000000006</v>
      </c>
      <c r="BP31" s="42">
        <f>IF($P$31="","",IF(J19="",$E$11-0.01,J19))</f>
        <v>9.9600000000000009</v>
      </c>
      <c r="BQ31" s="42">
        <f>IF($P$31="","",IF(K19="",$E$11-0.01,K19))</f>
        <v>9.98</v>
      </c>
      <c r="BR31" s="42">
        <f>IF($P$31="","",IF(L19="",$E$11-0.01,L19))</f>
        <v>9.9600000000000009</v>
      </c>
      <c r="BS31" s="42">
        <f>IF($P$31="","",IF(H20="",$E$11-0.01,H20))</f>
        <v>9.9700000000000006</v>
      </c>
      <c r="BT31" s="42">
        <f>IF($P$31="","",IF(I20="",$E$11-0.01,I20))</f>
        <v>9.98</v>
      </c>
      <c r="BU31" s="42">
        <f>IF($P$31="","",IF(J20="",$E$11-0.01,J20))</f>
        <v>9.99</v>
      </c>
      <c r="BV31" s="42">
        <f>IF($P$31="","",IF(K20="",$E$11-0.01,K20))</f>
        <v>9.9600000000000009</v>
      </c>
      <c r="BW31" s="42">
        <f>IF($P$31="","",IF(L20="",$E$11-0.01,L20))</f>
        <v>9.9600000000000009</v>
      </c>
      <c r="BX31" s="42">
        <f>IF($P$31="","",IF(H21="",$E$11-0.01,H21))</f>
        <v>9.9600000000000009</v>
      </c>
      <c r="BY31" s="42">
        <f>IF($P$31="","",IF(I21="",$E$11-0.01,I21))</f>
        <v>9.99</v>
      </c>
      <c r="BZ31" s="42">
        <f>IF($P$31="","",IF(J21="",$E$11-0.01,J21))</f>
        <v>9.9700000000000006</v>
      </c>
      <c r="CA31" s="42">
        <f>IF($P$31="","",IF(K21="",$E$11-0.01,K21))</f>
        <v>9.98</v>
      </c>
      <c r="CB31" s="42">
        <f>IF($P$31="","",IF(L21="",$E$11-0.01,L21))</f>
        <v>9.98</v>
      </c>
      <c r="CC31" s="42">
        <f>IF($P$31="","",IF(H22="",$E$11-0.01,H22))</f>
        <v>9.9600000000000009</v>
      </c>
      <c r="CD31" s="42">
        <f>IF($P$31="","",IF(I22="",$E$11-0.01,I22))</f>
        <v>9.9700000000000006</v>
      </c>
      <c r="CE31" s="42">
        <f>IF($P$31="","",IF(J22="",$E$11-0.01,J22))</f>
        <v>9.98</v>
      </c>
      <c r="CF31" s="42">
        <f>IF($P$31="","",IF(K22="",$E$11-0.01,K22))</f>
        <v>9.9600000000000009</v>
      </c>
      <c r="CG31" s="42">
        <f>IF($P$31="","",IF(L22="",$E$11-0.01,L22))</f>
        <v>9.9700000000000006</v>
      </c>
      <c r="CH31" s="42">
        <f>IF($P$31="","",IF(H23="",$E$11-0.01,H23))</f>
        <v>9.9600000000000009</v>
      </c>
      <c r="CI31" s="42">
        <f>IF($P$31="","",IF(I23="",$E$11-0.01,I23))</f>
        <v>9.9700000000000006</v>
      </c>
      <c r="CJ31" s="42">
        <f>IF($P$31="","",IF(J23="",$E$11-0.01,J23))</f>
        <v>9.98</v>
      </c>
      <c r="CK31" s="42">
        <f>IF($P$31="","",IF(K23="",$E$11-0.01,K23))</f>
        <v>9.9600000000000009</v>
      </c>
      <c r="CL31" s="42">
        <f>IF($P$31="","",IF(L23="",$E$11-0.01,L23))</f>
        <v>9.9700000000000006</v>
      </c>
      <c r="CM31" s="42">
        <f>IF($P$31="","",IF(H24="",$E$11-0.01,H24))</f>
        <v>9.9600000000000009</v>
      </c>
      <c r="CN31" s="42">
        <f>IF($P$31="","",IF(I24="",$E$11-0.01,I24))</f>
        <v>9.99</v>
      </c>
      <c r="CO31" s="42">
        <f>IF($P$31="","",IF(J24="",$E$11-0.01,J24))</f>
        <v>9.9700000000000006</v>
      </c>
      <c r="CP31" s="42">
        <f>IF($P$31="","",IF(K24="",$E$11-0.01,K24))</f>
        <v>9.98</v>
      </c>
      <c r="CQ31" s="42">
        <f>IF($P$31="","",IF(L24="",$E$11-0.01,L24))</f>
        <v>9.98</v>
      </c>
      <c r="CR31" s="42">
        <f>IF($P$31="","",IF(H25="",$E$11-0.01,H25))</f>
        <v>9.9700000000000006</v>
      </c>
      <c r="CS31" s="42">
        <f>IF($P$31="","",IF(I25="",$E$11-0.01,I25))</f>
        <v>9.9700000000000006</v>
      </c>
      <c r="CT31" s="42">
        <f>IF($P$31="","",IF(J25="",$E$11-0.01,J25))</f>
        <v>9.9600000000000009</v>
      </c>
      <c r="CU31" s="42">
        <f>IF($P$31="","",IF(K25="",$E$11-0.01,K25))</f>
        <v>9.98</v>
      </c>
      <c r="CV31" s="42">
        <f>IF($P$31="","",IF(L25="",$E$11-0.01,L25))</f>
        <v>9.9600000000000009</v>
      </c>
      <c r="CW31" s="42">
        <f>IF($P$31="","",IF(H26="",$E$11-0.01,H26))</f>
        <v>9.9600000000000009</v>
      </c>
      <c r="CX31" s="42">
        <f>IF($P$31="","",IF(I26="",$E$11-0.01,I26))</f>
        <v>9.9700000000000006</v>
      </c>
      <c r="CY31" s="42">
        <f>IF($P$31="","",IF(J26="",$E$11-0.01,J26))</f>
        <v>9.98</v>
      </c>
      <c r="CZ31" s="42">
        <f>IF($P$31="","",IF(K26="",$E$11-0.01,K26))</f>
        <v>9.9600000000000009</v>
      </c>
      <c r="DA31" s="42">
        <f>IF($P$31="","",IF(L26="",$E$11-0.01,L26))</f>
        <v>9.9700000000000006</v>
      </c>
      <c r="DB31" s="42">
        <f>IF($P$31="","",IF(H27="",$E$11-0.01,H27))</f>
        <v>9.9600000000000009</v>
      </c>
      <c r="DC31" s="42">
        <f>IF($P$31="","",IF(I27="",$E$11-0.01,I27))</f>
        <v>9.99</v>
      </c>
      <c r="DD31" s="42">
        <f>IF($P$31="","",IF(J27="",$E$11-0.01,J27))</f>
        <v>9.9700000000000006</v>
      </c>
      <c r="DE31" s="42">
        <f>IF($P$31="","",IF(K27="",$E$11-0.01,K27))</f>
        <v>9.98</v>
      </c>
      <c r="DF31" s="42">
        <f>IF($P$31="","",IF(L27="",$E$11-0.01,L27))</f>
        <v>9.98</v>
      </c>
      <c r="DG31" s="42">
        <f>IF($P$31="","",IF(H28="",$E$11-0.01,H28))</f>
        <v>9.9600000000000009</v>
      </c>
      <c r="DH31" s="42">
        <f>IF($P$31="","",IF(I28="",$E$11-0.01,I28))</f>
        <v>9.9700000000000006</v>
      </c>
      <c r="DI31" s="42">
        <f>IF($P$31="","",IF(J28="",$E$11-0.01,J28))</f>
        <v>9.98</v>
      </c>
      <c r="DJ31" s="42">
        <f>IF($P$31="","",IF(K28="",$E$11-0.01,K28))</f>
        <v>9.9600000000000009</v>
      </c>
      <c r="DK31" s="42">
        <f>IF($P$31="","",IF(L28="",$E$11-0.01,L28))</f>
        <v>9.9700000000000006</v>
      </c>
    </row>
    <row r="32" spans="1:121">
      <c r="P32" s="42">
        <f>IF(P31="","",$E$10)</f>
        <v>10.050000000000001</v>
      </c>
      <c r="Q32" s="42">
        <f t="shared" ref="Q32:CB32" si="20">IF(Q31="","",$P$32)</f>
        <v>10.050000000000001</v>
      </c>
      <c r="R32" s="42">
        <f t="shared" si="20"/>
        <v>10.050000000000001</v>
      </c>
      <c r="S32" s="42">
        <f t="shared" si="20"/>
        <v>10.050000000000001</v>
      </c>
      <c r="T32" s="42">
        <f t="shared" si="20"/>
        <v>10.050000000000001</v>
      </c>
      <c r="U32" s="42">
        <f t="shared" si="20"/>
        <v>10.050000000000001</v>
      </c>
      <c r="V32" s="42">
        <f t="shared" si="20"/>
        <v>10.050000000000001</v>
      </c>
      <c r="W32" s="42">
        <f t="shared" si="20"/>
        <v>10.050000000000001</v>
      </c>
      <c r="X32" s="42">
        <f t="shared" si="20"/>
        <v>10.050000000000001</v>
      </c>
      <c r="Y32" s="42">
        <f t="shared" si="20"/>
        <v>10.050000000000001</v>
      </c>
      <c r="Z32" s="42">
        <f t="shared" si="20"/>
        <v>10.050000000000001</v>
      </c>
      <c r="AA32" s="42">
        <f t="shared" si="20"/>
        <v>10.050000000000001</v>
      </c>
      <c r="AB32" s="42">
        <f t="shared" si="20"/>
        <v>10.050000000000001</v>
      </c>
      <c r="AC32" s="42">
        <f t="shared" si="20"/>
        <v>10.050000000000001</v>
      </c>
      <c r="AD32" s="42">
        <f t="shared" si="20"/>
        <v>10.050000000000001</v>
      </c>
      <c r="AE32" s="42">
        <f t="shared" si="20"/>
        <v>10.050000000000001</v>
      </c>
      <c r="AF32" s="42">
        <f t="shared" si="20"/>
        <v>10.050000000000001</v>
      </c>
      <c r="AG32" s="42">
        <f t="shared" si="20"/>
        <v>10.050000000000001</v>
      </c>
      <c r="AH32" s="42">
        <f t="shared" si="20"/>
        <v>10.050000000000001</v>
      </c>
      <c r="AI32" s="42">
        <f t="shared" si="20"/>
        <v>10.050000000000001</v>
      </c>
      <c r="AJ32" s="42">
        <f t="shared" si="20"/>
        <v>10.050000000000001</v>
      </c>
      <c r="AK32" s="42">
        <f t="shared" si="20"/>
        <v>10.050000000000001</v>
      </c>
      <c r="AL32" s="42">
        <f t="shared" si="20"/>
        <v>10.050000000000001</v>
      </c>
      <c r="AM32" s="42">
        <f t="shared" si="20"/>
        <v>10.050000000000001</v>
      </c>
      <c r="AN32" s="42">
        <f t="shared" si="20"/>
        <v>10.050000000000001</v>
      </c>
      <c r="AO32" s="42">
        <f t="shared" si="20"/>
        <v>10.050000000000001</v>
      </c>
      <c r="AP32" s="42">
        <f t="shared" si="20"/>
        <v>10.050000000000001</v>
      </c>
      <c r="AQ32" s="42">
        <f t="shared" si="20"/>
        <v>10.050000000000001</v>
      </c>
      <c r="AR32" s="42">
        <f t="shared" si="20"/>
        <v>10.050000000000001</v>
      </c>
      <c r="AS32" s="42">
        <f t="shared" si="20"/>
        <v>10.050000000000001</v>
      </c>
      <c r="AT32" s="42">
        <f t="shared" si="20"/>
        <v>10.050000000000001</v>
      </c>
      <c r="AU32" s="42">
        <f t="shared" si="20"/>
        <v>10.050000000000001</v>
      </c>
      <c r="AV32" s="42">
        <f t="shared" si="20"/>
        <v>10.050000000000001</v>
      </c>
      <c r="AW32" s="42">
        <f t="shared" si="20"/>
        <v>10.050000000000001</v>
      </c>
      <c r="AX32" s="42">
        <f t="shared" si="20"/>
        <v>10.050000000000001</v>
      </c>
      <c r="AY32" s="42">
        <f t="shared" si="20"/>
        <v>10.050000000000001</v>
      </c>
      <c r="AZ32" s="42">
        <f t="shared" si="20"/>
        <v>10.050000000000001</v>
      </c>
      <c r="BA32" s="42">
        <f t="shared" si="20"/>
        <v>10.050000000000001</v>
      </c>
      <c r="BB32" s="42">
        <f t="shared" si="20"/>
        <v>10.050000000000001</v>
      </c>
      <c r="BC32" s="42">
        <f t="shared" si="20"/>
        <v>10.050000000000001</v>
      </c>
      <c r="BD32" s="42">
        <f t="shared" si="20"/>
        <v>10.050000000000001</v>
      </c>
      <c r="BE32" s="42">
        <f t="shared" si="20"/>
        <v>10.050000000000001</v>
      </c>
      <c r="BF32" s="42">
        <f t="shared" si="20"/>
        <v>10.050000000000001</v>
      </c>
      <c r="BG32" s="42">
        <f t="shared" si="20"/>
        <v>10.050000000000001</v>
      </c>
      <c r="BH32" s="42">
        <f t="shared" si="20"/>
        <v>10.050000000000001</v>
      </c>
      <c r="BI32" s="42">
        <f t="shared" si="20"/>
        <v>10.050000000000001</v>
      </c>
      <c r="BJ32" s="42">
        <f t="shared" si="20"/>
        <v>10.050000000000001</v>
      </c>
      <c r="BK32" s="42">
        <f t="shared" si="20"/>
        <v>10.050000000000001</v>
      </c>
      <c r="BL32" s="42">
        <f t="shared" si="20"/>
        <v>10.050000000000001</v>
      </c>
      <c r="BM32" s="42">
        <f t="shared" si="20"/>
        <v>10.050000000000001</v>
      </c>
      <c r="BN32" s="42">
        <f t="shared" si="20"/>
        <v>10.050000000000001</v>
      </c>
      <c r="BO32" s="42">
        <f t="shared" si="20"/>
        <v>10.050000000000001</v>
      </c>
      <c r="BP32" s="42">
        <f t="shared" si="20"/>
        <v>10.050000000000001</v>
      </c>
      <c r="BQ32" s="42">
        <f t="shared" si="20"/>
        <v>10.050000000000001</v>
      </c>
      <c r="BR32" s="42">
        <f t="shared" si="20"/>
        <v>10.050000000000001</v>
      </c>
      <c r="BS32" s="42">
        <f t="shared" si="20"/>
        <v>10.050000000000001</v>
      </c>
      <c r="BT32" s="42">
        <f t="shared" si="20"/>
        <v>10.050000000000001</v>
      </c>
      <c r="BU32" s="42">
        <f t="shared" si="20"/>
        <v>10.050000000000001</v>
      </c>
      <c r="BV32" s="42">
        <f t="shared" si="20"/>
        <v>10.050000000000001</v>
      </c>
      <c r="BW32" s="42">
        <f t="shared" si="20"/>
        <v>10.050000000000001</v>
      </c>
      <c r="BX32" s="42">
        <f t="shared" si="20"/>
        <v>10.050000000000001</v>
      </c>
      <c r="BY32" s="42">
        <f t="shared" si="20"/>
        <v>10.050000000000001</v>
      </c>
      <c r="BZ32" s="42">
        <f t="shared" si="20"/>
        <v>10.050000000000001</v>
      </c>
      <c r="CA32" s="42">
        <f t="shared" si="20"/>
        <v>10.050000000000001</v>
      </c>
      <c r="CB32" s="42">
        <f t="shared" si="20"/>
        <v>10.050000000000001</v>
      </c>
      <c r="CC32" s="42">
        <f t="shared" ref="CC32:DK32" si="21">IF(CC31="","",$P$32)</f>
        <v>10.050000000000001</v>
      </c>
      <c r="CD32" s="42">
        <f t="shared" si="21"/>
        <v>10.050000000000001</v>
      </c>
      <c r="CE32" s="42">
        <f t="shared" si="21"/>
        <v>10.050000000000001</v>
      </c>
      <c r="CF32" s="42">
        <f t="shared" si="21"/>
        <v>10.050000000000001</v>
      </c>
      <c r="CG32" s="42">
        <f t="shared" si="21"/>
        <v>10.050000000000001</v>
      </c>
      <c r="CH32" s="42">
        <f t="shared" si="21"/>
        <v>10.050000000000001</v>
      </c>
      <c r="CI32" s="42">
        <f t="shared" si="21"/>
        <v>10.050000000000001</v>
      </c>
      <c r="CJ32" s="42">
        <f t="shared" si="21"/>
        <v>10.050000000000001</v>
      </c>
      <c r="CK32" s="42">
        <f t="shared" si="21"/>
        <v>10.050000000000001</v>
      </c>
      <c r="CL32" s="42">
        <f t="shared" si="21"/>
        <v>10.050000000000001</v>
      </c>
      <c r="CM32" s="42">
        <f t="shared" si="21"/>
        <v>10.050000000000001</v>
      </c>
      <c r="CN32" s="42">
        <f t="shared" si="21"/>
        <v>10.050000000000001</v>
      </c>
      <c r="CO32" s="42">
        <f t="shared" si="21"/>
        <v>10.050000000000001</v>
      </c>
      <c r="CP32" s="42">
        <f t="shared" si="21"/>
        <v>10.050000000000001</v>
      </c>
      <c r="CQ32" s="42">
        <f t="shared" si="21"/>
        <v>10.050000000000001</v>
      </c>
      <c r="CR32" s="42">
        <f t="shared" si="21"/>
        <v>10.050000000000001</v>
      </c>
      <c r="CS32" s="42">
        <f t="shared" si="21"/>
        <v>10.050000000000001</v>
      </c>
      <c r="CT32" s="42">
        <f t="shared" si="21"/>
        <v>10.050000000000001</v>
      </c>
      <c r="CU32" s="42">
        <f t="shared" si="21"/>
        <v>10.050000000000001</v>
      </c>
      <c r="CV32" s="42">
        <f t="shared" si="21"/>
        <v>10.050000000000001</v>
      </c>
      <c r="CW32" s="42">
        <f t="shared" si="21"/>
        <v>10.050000000000001</v>
      </c>
      <c r="CX32" s="42">
        <f t="shared" si="21"/>
        <v>10.050000000000001</v>
      </c>
      <c r="CY32" s="42">
        <f t="shared" si="21"/>
        <v>10.050000000000001</v>
      </c>
      <c r="CZ32" s="42">
        <f t="shared" si="21"/>
        <v>10.050000000000001</v>
      </c>
      <c r="DA32" s="42">
        <f t="shared" si="21"/>
        <v>10.050000000000001</v>
      </c>
      <c r="DB32" s="42">
        <f t="shared" si="21"/>
        <v>10.050000000000001</v>
      </c>
      <c r="DC32" s="42">
        <f t="shared" si="21"/>
        <v>10.050000000000001</v>
      </c>
      <c r="DD32" s="42">
        <f t="shared" si="21"/>
        <v>10.050000000000001</v>
      </c>
      <c r="DE32" s="42">
        <f t="shared" si="21"/>
        <v>10.050000000000001</v>
      </c>
      <c r="DF32" s="42">
        <f t="shared" si="21"/>
        <v>10.050000000000001</v>
      </c>
      <c r="DG32" s="42">
        <f t="shared" si="21"/>
        <v>10.050000000000001</v>
      </c>
      <c r="DH32" s="42">
        <f t="shared" si="21"/>
        <v>10.050000000000001</v>
      </c>
      <c r="DI32" s="42">
        <f t="shared" si="21"/>
        <v>10.050000000000001</v>
      </c>
      <c r="DJ32" s="42">
        <f t="shared" si="21"/>
        <v>10.050000000000001</v>
      </c>
      <c r="DK32" s="42">
        <f t="shared" si="21"/>
        <v>10.050000000000001</v>
      </c>
    </row>
    <row r="33" spans="2:115">
      <c r="P33" s="3">
        <f>IF(P31="","",$E$14)</f>
        <v>9.9499999999999993</v>
      </c>
      <c r="Q33" s="3">
        <f t="shared" ref="Q33:CB33" si="22">IF(Q31="","",$P$33)</f>
        <v>9.9499999999999993</v>
      </c>
      <c r="R33" s="3">
        <f t="shared" si="22"/>
        <v>9.9499999999999993</v>
      </c>
      <c r="S33" s="3">
        <f t="shared" si="22"/>
        <v>9.9499999999999993</v>
      </c>
      <c r="T33" s="3">
        <f t="shared" si="22"/>
        <v>9.9499999999999993</v>
      </c>
      <c r="U33" s="3">
        <f t="shared" si="22"/>
        <v>9.9499999999999993</v>
      </c>
      <c r="V33" s="3">
        <f t="shared" si="22"/>
        <v>9.9499999999999993</v>
      </c>
      <c r="W33" s="3">
        <f t="shared" si="22"/>
        <v>9.9499999999999993</v>
      </c>
      <c r="X33" s="3">
        <f t="shared" si="22"/>
        <v>9.9499999999999993</v>
      </c>
      <c r="Y33" s="3">
        <f t="shared" si="22"/>
        <v>9.9499999999999993</v>
      </c>
      <c r="Z33" s="3">
        <f t="shared" si="22"/>
        <v>9.9499999999999993</v>
      </c>
      <c r="AA33" s="3">
        <f t="shared" si="22"/>
        <v>9.9499999999999993</v>
      </c>
      <c r="AB33" s="3">
        <f t="shared" si="22"/>
        <v>9.9499999999999993</v>
      </c>
      <c r="AC33" s="3">
        <f t="shared" si="22"/>
        <v>9.9499999999999993</v>
      </c>
      <c r="AD33" s="3">
        <f t="shared" si="22"/>
        <v>9.9499999999999993</v>
      </c>
      <c r="AE33" s="3">
        <f t="shared" si="22"/>
        <v>9.9499999999999993</v>
      </c>
      <c r="AF33" s="3">
        <f t="shared" si="22"/>
        <v>9.9499999999999993</v>
      </c>
      <c r="AG33" s="3">
        <f t="shared" si="22"/>
        <v>9.9499999999999993</v>
      </c>
      <c r="AH33" s="3">
        <f t="shared" si="22"/>
        <v>9.9499999999999993</v>
      </c>
      <c r="AI33" s="3">
        <f t="shared" si="22"/>
        <v>9.9499999999999993</v>
      </c>
      <c r="AJ33" s="3">
        <f t="shared" si="22"/>
        <v>9.9499999999999993</v>
      </c>
      <c r="AK33" s="3">
        <f t="shared" si="22"/>
        <v>9.9499999999999993</v>
      </c>
      <c r="AL33" s="3">
        <f t="shared" si="22"/>
        <v>9.9499999999999993</v>
      </c>
      <c r="AM33" s="3">
        <f t="shared" si="22"/>
        <v>9.9499999999999993</v>
      </c>
      <c r="AN33" s="3">
        <f t="shared" si="22"/>
        <v>9.9499999999999993</v>
      </c>
      <c r="AO33" s="3">
        <f t="shared" si="22"/>
        <v>9.9499999999999993</v>
      </c>
      <c r="AP33" s="3">
        <f t="shared" si="22"/>
        <v>9.9499999999999993</v>
      </c>
      <c r="AQ33" s="3">
        <f t="shared" si="22"/>
        <v>9.9499999999999993</v>
      </c>
      <c r="AR33" s="3">
        <f t="shared" si="22"/>
        <v>9.9499999999999993</v>
      </c>
      <c r="AS33" s="3">
        <f t="shared" si="22"/>
        <v>9.9499999999999993</v>
      </c>
      <c r="AT33" s="3">
        <f t="shared" si="22"/>
        <v>9.9499999999999993</v>
      </c>
      <c r="AU33" s="3">
        <f t="shared" si="22"/>
        <v>9.9499999999999993</v>
      </c>
      <c r="AV33" s="3">
        <f t="shared" si="22"/>
        <v>9.9499999999999993</v>
      </c>
      <c r="AW33" s="3">
        <f t="shared" si="22"/>
        <v>9.9499999999999993</v>
      </c>
      <c r="AX33" s="3">
        <f t="shared" si="22"/>
        <v>9.9499999999999993</v>
      </c>
      <c r="AY33" s="3">
        <f t="shared" si="22"/>
        <v>9.9499999999999993</v>
      </c>
      <c r="AZ33" s="3">
        <f t="shared" si="22"/>
        <v>9.9499999999999993</v>
      </c>
      <c r="BA33" s="3">
        <f t="shared" si="22"/>
        <v>9.9499999999999993</v>
      </c>
      <c r="BB33" s="3">
        <f t="shared" si="22"/>
        <v>9.9499999999999993</v>
      </c>
      <c r="BC33" s="3">
        <f t="shared" si="22"/>
        <v>9.9499999999999993</v>
      </c>
      <c r="BD33" s="3">
        <f t="shared" si="22"/>
        <v>9.9499999999999993</v>
      </c>
      <c r="BE33" s="3">
        <f t="shared" si="22"/>
        <v>9.9499999999999993</v>
      </c>
      <c r="BF33" s="3">
        <f t="shared" si="22"/>
        <v>9.9499999999999993</v>
      </c>
      <c r="BG33" s="3">
        <f t="shared" si="22"/>
        <v>9.9499999999999993</v>
      </c>
      <c r="BH33" s="3">
        <f t="shared" si="22"/>
        <v>9.9499999999999993</v>
      </c>
      <c r="BI33" s="3">
        <f t="shared" si="22"/>
        <v>9.9499999999999993</v>
      </c>
      <c r="BJ33" s="3">
        <f t="shared" si="22"/>
        <v>9.9499999999999993</v>
      </c>
      <c r="BK33" s="3">
        <f t="shared" si="22"/>
        <v>9.9499999999999993</v>
      </c>
      <c r="BL33" s="3">
        <f t="shared" si="22"/>
        <v>9.9499999999999993</v>
      </c>
      <c r="BM33" s="3">
        <f t="shared" si="22"/>
        <v>9.9499999999999993</v>
      </c>
      <c r="BN33" s="3">
        <f t="shared" si="22"/>
        <v>9.9499999999999993</v>
      </c>
      <c r="BO33" s="3">
        <f t="shared" si="22"/>
        <v>9.9499999999999993</v>
      </c>
      <c r="BP33" s="3">
        <f t="shared" si="22"/>
        <v>9.9499999999999993</v>
      </c>
      <c r="BQ33" s="3">
        <f t="shared" si="22"/>
        <v>9.9499999999999993</v>
      </c>
      <c r="BR33" s="3">
        <f t="shared" si="22"/>
        <v>9.9499999999999993</v>
      </c>
      <c r="BS33" s="3">
        <f t="shared" si="22"/>
        <v>9.9499999999999993</v>
      </c>
      <c r="BT33" s="3">
        <f t="shared" si="22"/>
        <v>9.9499999999999993</v>
      </c>
      <c r="BU33" s="3">
        <f t="shared" si="22"/>
        <v>9.9499999999999993</v>
      </c>
      <c r="BV33" s="3">
        <f t="shared" si="22"/>
        <v>9.9499999999999993</v>
      </c>
      <c r="BW33" s="3">
        <f t="shared" si="22"/>
        <v>9.9499999999999993</v>
      </c>
      <c r="BX33" s="3">
        <f t="shared" si="22"/>
        <v>9.9499999999999993</v>
      </c>
      <c r="BY33" s="3">
        <f t="shared" si="22"/>
        <v>9.9499999999999993</v>
      </c>
      <c r="BZ33" s="3">
        <f t="shared" si="22"/>
        <v>9.9499999999999993</v>
      </c>
      <c r="CA33" s="3">
        <f t="shared" si="22"/>
        <v>9.9499999999999993</v>
      </c>
      <c r="CB33" s="3">
        <f t="shared" si="22"/>
        <v>9.9499999999999993</v>
      </c>
      <c r="CC33" s="3">
        <f t="shared" ref="CC33:DK33" si="23">IF(CC31="","",$P$33)</f>
        <v>9.9499999999999993</v>
      </c>
      <c r="CD33" s="3">
        <f t="shared" si="23"/>
        <v>9.9499999999999993</v>
      </c>
      <c r="CE33" s="3">
        <f t="shared" si="23"/>
        <v>9.9499999999999993</v>
      </c>
      <c r="CF33" s="3">
        <f t="shared" si="23"/>
        <v>9.9499999999999993</v>
      </c>
      <c r="CG33" s="3">
        <f t="shared" si="23"/>
        <v>9.9499999999999993</v>
      </c>
      <c r="CH33" s="3">
        <f t="shared" si="23"/>
        <v>9.9499999999999993</v>
      </c>
      <c r="CI33" s="3">
        <f t="shared" si="23"/>
        <v>9.9499999999999993</v>
      </c>
      <c r="CJ33" s="3">
        <f t="shared" si="23"/>
        <v>9.9499999999999993</v>
      </c>
      <c r="CK33" s="3">
        <f t="shared" si="23"/>
        <v>9.9499999999999993</v>
      </c>
      <c r="CL33" s="3">
        <f t="shared" si="23"/>
        <v>9.9499999999999993</v>
      </c>
      <c r="CM33" s="3">
        <f t="shared" si="23"/>
        <v>9.9499999999999993</v>
      </c>
      <c r="CN33" s="3">
        <f t="shared" si="23"/>
        <v>9.9499999999999993</v>
      </c>
      <c r="CO33" s="3">
        <f t="shared" si="23"/>
        <v>9.9499999999999993</v>
      </c>
      <c r="CP33" s="3">
        <f t="shared" si="23"/>
        <v>9.9499999999999993</v>
      </c>
      <c r="CQ33" s="3">
        <f t="shared" si="23"/>
        <v>9.9499999999999993</v>
      </c>
      <c r="CR33" s="3">
        <f t="shared" si="23"/>
        <v>9.9499999999999993</v>
      </c>
      <c r="CS33" s="3">
        <f t="shared" si="23"/>
        <v>9.9499999999999993</v>
      </c>
      <c r="CT33" s="3">
        <f t="shared" si="23"/>
        <v>9.9499999999999993</v>
      </c>
      <c r="CU33" s="3">
        <f t="shared" si="23"/>
        <v>9.9499999999999993</v>
      </c>
      <c r="CV33" s="3">
        <f t="shared" si="23"/>
        <v>9.9499999999999993</v>
      </c>
      <c r="CW33" s="3">
        <f t="shared" si="23"/>
        <v>9.9499999999999993</v>
      </c>
      <c r="CX33" s="3">
        <f t="shared" si="23"/>
        <v>9.9499999999999993</v>
      </c>
      <c r="CY33" s="3">
        <f t="shared" si="23"/>
        <v>9.9499999999999993</v>
      </c>
      <c r="CZ33" s="3">
        <f t="shared" si="23"/>
        <v>9.9499999999999993</v>
      </c>
      <c r="DA33" s="3">
        <f t="shared" si="23"/>
        <v>9.9499999999999993</v>
      </c>
      <c r="DB33" s="3">
        <f t="shared" si="23"/>
        <v>9.9499999999999993</v>
      </c>
      <c r="DC33" s="3">
        <f t="shared" si="23"/>
        <v>9.9499999999999993</v>
      </c>
      <c r="DD33" s="3">
        <f t="shared" si="23"/>
        <v>9.9499999999999993</v>
      </c>
      <c r="DE33" s="3">
        <f t="shared" si="23"/>
        <v>9.9499999999999993</v>
      </c>
      <c r="DF33" s="3">
        <f t="shared" si="23"/>
        <v>9.9499999999999993</v>
      </c>
      <c r="DG33" s="3">
        <f t="shared" si="23"/>
        <v>9.9499999999999993</v>
      </c>
      <c r="DH33" s="3">
        <f t="shared" si="23"/>
        <v>9.9499999999999993</v>
      </c>
      <c r="DI33" s="3">
        <f t="shared" si="23"/>
        <v>9.9499999999999993</v>
      </c>
      <c r="DJ33" s="3">
        <f t="shared" si="23"/>
        <v>9.9499999999999993</v>
      </c>
      <c r="DK33" s="3">
        <f t="shared" si="23"/>
        <v>9.9499999999999993</v>
      </c>
    </row>
    <row r="34" spans="2:115">
      <c r="P34" s="3">
        <f>IF(P31="","",$E$11)</f>
        <v>9.9499999999999993</v>
      </c>
      <c r="Q34" s="3">
        <f t="shared" ref="Q34:CB34" si="24">IF(Q31="","",$P$34)</f>
        <v>9.9499999999999993</v>
      </c>
      <c r="R34" s="3">
        <f t="shared" si="24"/>
        <v>9.9499999999999993</v>
      </c>
      <c r="S34" s="3">
        <f t="shared" si="24"/>
        <v>9.9499999999999993</v>
      </c>
      <c r="T34" s="3">
        <f t="shared" si="24"/>
        <v>9.9499999999999993</v>
      </c>
      <c r="U34" s="3">
        <f t="shared" si="24"/>
        <v>9.9499999999999993</v>
      </c>
      <c r="V34" s="3">
        <f t="shared" si="24"/>
        <v>9.9499999999999993</v>
      </c>
      <c r="W34" s="3">
        <f t="shared" si="24"/>
        <v>9.9499999999999993</v>
      </c>
      <c r="X34" s="3">
        <f t="shared" si="24"/>
        <v>9.9499999999999993</v>
      </c>
      <c r="Y34" s="3">
        <f t="shared" si="24"/>
        <v>9.9499999999999993</v>
      </c>
      <c r="Z34" s="3">
        <f t="shared" si="24"/>
        <v>9.9499999999999993</v>
      </c>
      <c r="AA34" s="3">
        <f t="shared" si="24"/>
        <v>9.9499999999999993</v>
      </c>
      <c r="AB34" s="3">
        <f t="shared" si="24"/>
        <v>9.9499999999999993</v>
      </c>
      <c r="AC34" s="3">
        <f t="shared" si="24"/>
        <v>9.9499999999999993</v>
      </c>
      <c r="AD34" s="3">
        <f t="shared" si="24"/>
        <v>9.9499999999999993</v>
      </c>
      <c r="AE34" s="3">
        <f t="shared" si="24"/>
        <v>9.9499999999999993</v>
      </c>
      <c r="AF34" s="3">
        <f t="shared" si="24"/>
        <v>9.9499999999999993</v>
      </c>
      <c r="AG34" s="3">
        <f t="shared" si="24"/>
        <v>9.9499999999999993</v>
      </c>
      <c r="AH34" s="3">
        <f t="shared" si="24"/>
        <v>9.9499999999999993</v>
      </c>
      <c r="AI34" s="3">
        <f t="shared" si="24"/>
        <v>9.9499999999999993</v>
      </c>
      <c r="AJ34" s="3">
        <f t="shared" si="24"/>
        <v>9.9499999999999993</v>
      </c>
      <c r="AK34" s="3">
        <f t="shared" si="24"/>
        <v>9.9499999999999993</v>
      </c>
      <c r="AL34" s="3">
        <f t="shared" si="24"/>
        <v>9.9499999999999993</v>
      </c>
      <c r="AM34" s="3">
        <f t="shared" si="24"/>
        <v>9.9499999999999993</v>
      </c>
      <c r="AN34" s="3">
        <f t="shared" si="24"/>
        <v>9.9499999999999993</v>
      </c>
      <c r="AO34" s="3">
        <f t="shared" si="24"/>
        <v>9.9499999999999993</v>
      </c>
      <c r="AP34" s="3">
        <f t="shared" si="24"/>
        <v>9.9499999999999993</v>
      </c>
      <c r="AQ34" s="3">
        <f t="shared" si="24"/>
        <v>9.9499999999999993</v>
      </c>
      <c r="AR34" s="3">
        <f t="shared" si="24"/>
        <v>9.9499999999999993</v>
      </c>
      <c r="AS34" s="3">
        <f t="shared" si="24"/>
        <v>9.9499999999999993</v>
      </c>
      <c r="AT34" s="3">
        <f t="shared" si="24"/>
        <v>9.9499999999999993</v>
      </c>
      <c r="AU34" s="3">
        <f t="shared" si="24"/>
        <v>9.9499999999999993</v>
      </c>
      <c r="AV34" s="3">
        <f t="shared" si="24"/>
        <v>9.9499999999999993</v>
      </c>
      <c r="AW34" s="3">
        <f t="shared" si="24"/>
        <v>9.9499999999999993</v>
      </c>
      <c r="AX34" s="3">
        <f t="shared" si="24"/>
        <v>9.9499999999999993</v>
      </c>
      <c r="AY34" s="3">
        <f t="shared" si="24"/>
        <v>9.9499999999999993</v>
      </c>
      <c r="AZ34" s="3">
        <f t="shared" si="24"/>
        <v>9.9499999999999993</v>
      </c>
      <c r="BA34" s="3">
        <f t="shared" si="24"/>
        <v>9.9499999999999993</v>
      </c>
      <c r="BB34" s="3">
        <f t="shared" si="24"/>
        <v>9.9499999999999993</v>
      </c>
      <c r="BC34" s="3">
        <f t="shared" si="24"/>
        <v>9.9499999999999993</v>
      </c>
      <c r="BD34" s="3">
        <f t="shared" si="24"/>
        <v>9.9499999999999993</v>
      </c>
      <c r="BE34" s="3">
        <f t="shared" si="24"/>
        <v>9.9499999999999993</v>
      </c>
      <c r="BF34" s="3">
        <f t="shared" si="24"/>
        <v>9.9499999999999993</v>
      </c>
      <c r="BG34" s="3">
        <f t="shared" si="24"/>
        <v>9.9499999999999993</v>
      </c>
      <c r="BH34" s="3">
        <f t="shared" si="24"/>
        <v>9.9499999999999993</v>
      </c>
      <c r="BI34" s="3">
        <f t="shared" si="24"/>
        <v>9.9499999999999993</v>
      </c>
      <c r="BJ34" s="3">
        <f t="shared" si="24"/>
        <v>9.9499999999999993</v>
      </c>
      <c r="BK34" s="3">
        <f t="shared" si="24"/>
        <v>9.9499999999999993</v>
      </c>
      <c r="BL34" s="3">
        <f t="shared" si="24"/>
        <v>9.9499999999999993</v>
      </c>
      <c r="BM34" s="3">
        <f t="shared" si="24"/>
        <v>9.9499999999999993</v>
      </c>
      <c r="BN34" s="3">
        <f t="shared" si="24"/>
        <v>9.9499999999999993</v>
      </c>
      <c r="BO34" s="3">
        <f t="shared" si="24"/>
        <v>9.9499999999999993</v>
      </c>
      <c r="BP34" s="3">
        <f t="shared" si="24"/>
        <v>9.9499999999999993</v>
      </c>
      <c r="BQ34" s="3">
        <f t="shared" si="24"/>
        <v>9.9499999999999993</v>
      </c>
      <c r="BR34" s="3">
        <f t="shared" si="24"/>
        <v>9.9499999999999993</v>
      </c>
      <c r="BS34" s="3">
        <f t="shared" si="24"/>
        <v>9.9499999999999993</v>
      </c>
      <c r="BT34" s="3">
        <f t="shared" si="24"/>
        <v>9.9499999999999993</v>
      </c>
      <c r="BU34" s="3">
        <f t="shared" si="24"/>
        <v>9.9499999999999993</v>
      </c>
      <c r="BV34" s="3">
        <f t="shared" si="24"/>
        <v>9.9499999999999993</v>
      </c>
      <c r="BW34" s="3">
        <f t="shared" si="24"/>
        <v>9.9499999999999993</v>
      </c>
      <c r="BX34" s="3">
        <f t="shared" si="24"/>
        <v>9.9499999999999993</v>
      </c>
      <c r="BY34" s="3">
        <f t="shared" si="24"/>
        <v>9.9499999999999993</v>
      </c>
      <c r="BZ34" s="3">
        <f t="shared" si="24"/>
        <v>9.9499999999999993</v>
      </c>
      <c r="CA34" s="3">
        <f t="shared" si="24"/>
        <v>9.9499999999999993</v>
      </c>
      <c r="CB34" s="3">
        <f t="shared" si="24"/>
        <v>9.9499999999999993</v>
      </c>
      <c r="CC34" s="3">
        <f t="shared" ref="CC34:DK34" si="25">IF(CC31="","",$P$34)</f>
        <v>9.9499999999999993</v>
      </c>
      <c r="CD34" s="3">
        <f t="shared" si="25"/>
        <v>9.9499999999999993</v>
      </c>
      <c r="CE34" s="3">
        <f t="shared" si="25"/>
        <v>9.9499999999999993</v>
      </c>
      <c r="CF34" s="3">
        <f t="shared" si="25"/>
        <v>9.9499999999999993</v>
      </c>
      <c r="CG34" s="3">
        <f t="shared" si="25"/>
        <v>9.9499999999999993</v>
      </c>
      <c r="CH34" s="3">
        <f t="shared" si="25"/>
        <v>9.9499999999999993</v>
      </c>
      <c r="CI34" s="3">
        <f t="shared" si="25"/>
        <v>9.9499999999999993</v>
      </c>
      <c r="CJ34" s="3">
        <f t="shared" si="25"/>
        <v>9.9499999999999993</v>
      </c>
      <c r="CK34" s="3">
        <f t="shared" si="25"/>
        <v>9.9499999999999993</v>
      </c>
      <c r="CL34" s="3">
        <f t="shared" si="25"/>
        <v>9.9499999999999993</v>
      </c>
      <c r="CM34" s="3">
        <f t="shared" si="25"/>
        <v>9.9499999999999993</v>
      </c>
      <c r="CN34" s="3">
        <f t="shared" si="25"/>
        <v>9.9499999999999993</v>
      </c>
      <c r="CO34" s="3">
        <f t="shared" si="25"/>
        <v>9.9499999999999993</v>
      </c>
      <c r="CP34" s="3">
        <f t="shared" si="25"/>
        <v>9.9499999999999993</v>
      </c>
      <c r="CQ34" s="3">
        <f t="shared" si="25"/>
        <v>9.9499999999999993</v>
      </c>
      <c r="CR34" s="3">
        <f t="shared" si="25"/>
        <v>9.9499999999999993</v>
      </c>
      <c r="CS34" s="3">
        <f t="shared" si="25"/>
        <v>9.9499999999999993</v>
      </c>
      <c r="CT34" s="3">
        <f t="shared" si="25"/>
        <v>9.9499999999999993</v>
      </c>
      <c r="CU34" s="3">
        <f t="shared" si="25"/>
        <v>9.9499999999999993</v>
      </c>
      <c r="CV34" s="3">
        <f t="shared" si="25"/>
        <v>9.9499999999999993</v>
      </c>
      <c r="CW34" s="3">
        <f t="shared" si="25"/>
        <v>9.9499999999999993</v>
      </c>
      <c r="CX34" s="3">
        <f t="shared" si="25"/>
        <v>9.9499999999999993</v>
      </c>
      <c r="CY34" s="3">
        <f t="shared" si="25"/>
        <v>9.9499999999999993</v>
      </c>
      <c r="CZ34" s="3">
        <f t="shared" si="25"/>
        <v>9.9499999999999993</v>
      </c>
      <c r="DA34" s="3">
        <f t="shared" si="25"/>
        <v>9.9499999999999993</v>
      </c>
      <c r="DB34" s="3">
        <f t="shared" si="25"/>
        <v>9.9499999999999993</v>
      </c>
      <c r="DC34" s="3">
        <f t="shared" si="25"/>
        <v>9.9499999999999993</v>
      </c>
      <c r="DD34" s="3">
        <f t="shared" si="25"/>
        <v>9.9499999999999993</v>
      </c>
      <c r="DE34" s="3">
        <f t="shared" si="25"/>
        <v>9.9499999999999993</v>
      </c>
      <c r="DF34" s="3">
        <f t="shared" si="25"/>
        <v>9.9499999999999993</v>
      </c>
      <c r="DG34" s="3">
        <f t="shared" si="25"/>
        <v>9.9499999999999993</v>
      </c>
      <c r="DH34" s="3">
        <f t="shared" si="25"/>
        <v>9.9499999999999993</v>
      </c>
      <c r="DI34" s="3">
        <f t="shared" si="25"/>
        <v>9.9499999999999993</v>
      </c>
      <c r="DJ34" s="3">
        <f t="shared" si="25"/>
        <v>9.9499999999999993</v>
      </c>
      <c r="DK34" s="3">
        <f t="shared" si="25"/>
        <v>9.9499999999999993</v>
      </c>
    </row>
    <row r="41" spans="2:115"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</row>
    <row r="42" spans="2:115"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</row>
    <row r="53" ht="18" customHeight="1"/>
  </sheetData>
  <mergeCells count="20">
    <mergeCell ref="AE17:AF17"/>
    <mergeCell ref="B41:L41"/>
    <mergeCell ref="B42:L42"/>
    <mergeCell ref="G7:G8"/>
    <mergeCell ref="D5:E5"/>
    <mergeCell ref="G5:I5"/>
    <mergeCell ref="J5:L5"/>
    <mergeCell ref="A1:L1"/>
    <mergeCell ref="AE10:AF12"/>
    <mergeCell ref="AE14:AF16"/>
    <mergeCell ref="A3:C3"/>
    <mergeCell ref="A4:C4"/>
    <mergeCell ref="A5:C5"/>
    <mergeCell ref="H7:L7"/>
    <mergeCell ref="D3:E3"/>
    <mergeCell ref="G3:I3"/>
    <mergeCell ref="J3:L3"/>
    <mergeCell ref="D4:E4"/>
    <mergeCell ref="G4:I4"/>
    <mergeCell ref="J4:L4"/>
  </mergeCells>
  <pageMargins left="0.24" right="0.24" top="0.22" bottom="0.17" header="0.17" footer="0.19"/>
  <pageSetup paperSize="9" scale="84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Pict="0">
                <anchor moveWithCells="1" sizeWithCells="1">
                  <from>
                    <xdr:col>1</xdr:col>
                    <xdr:colOff>71438</xdr:colOff>
                    <xdr:row>7</xdr:row>
                    <xdr:rowOff>71438</xdr:rowOff>
                  </from>
                  <to>
                    <xdr:col>1</xdr:col>
                    <xdr:colOff>838200</xdr:colOff>
                    <xdr:row>9</xdr:row>
                    <xdr:rowOff>80963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Pict="0">
                <anchor moveWithCells="1" sizeWithCells="1">
                  <from>
                    <xdr:col>1</xdr:col>
                    <xdr:colOff>61913</xdr:colOff>
                    <xdr:row>10</xdr:row>
                    <xdr:rowOff>4763</xdr:rowOff>
                  </from>
                  <to>
                    <xdr:col>1</xdr:col>
                    <xdr:colOff>828675</xdr:colOff>
                    <xdr:row>11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Pict="0">
                <anchor moveWithCells="1" sizeWithCells="1">
                  <from>
                    <xdr:col>1</xdr:col>
                    <xdr:colOff>61913</xdr:colOff>
                    <xdr:row>12</xdr:row>
                    <xdr:rowOff>128588</xdr:rowOff>
                  </from>
                  <to>
                    <xdr:col>1</xdr:col>
                    <xdr:colOff>828675</xdr:colOff>
                    <xdr:row>14</xdr:row>
                    <xdr:rowOff>166688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PpCp</vt:lpstr>
      <vt:lpstr>PpCp!Print_Area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</dc:creator>
  <cp:lastModifiedBy>Xing Wang</cp:lastModifiedBy>
  <dcterms:created xsi:type="dcterms:W3CDTF">2023-11-03T07:36:00Z</dcterms:created>
  <dcterms:modified xsi:type="dcterms:W3CDTF">2026-02-02T02:24:01Z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A480ED7F75CC47569059395921BE023D_11</vt:lpwstr>
  </property>
  <property fmtid="{D5CDD505-2E9C-101B-9397-08002B2CF9AE}" pid="3" name="KSOProductBuildVer">
    <vt:lpwstr>2052-12.1.0.15712</vt:lpwstr>
  </property>
</Properties>
</file>